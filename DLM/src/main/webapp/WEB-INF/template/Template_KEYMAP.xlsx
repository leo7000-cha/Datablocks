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LM\010.Template_파일업로드\"/>
    </mc:Choice>
  </mc:AlternateContent>
  <xr:revisionPtr revIDLastSave="0" documentId="13_ncr:1_{AAAC11EA-72FE-408C-B3D0-C422D126BCF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4" r:id="rId1"/>
  </sheets>
  <definedNames>
    <definedName name="_xlnm._FilterDatabase" localSheetId="0" hidden="1">UPLOAD!$D$2:$U$36</definedName>
  </definedNames>
  <calcPr calcId="191029"/>
</workbook>
</file>

<file path=xl/calcChain.xml><?xml version="1.0" encoding="utf-8"?>
<calcChain xmlns="http://schemas.openxmlformats.org/spreadsheetml/2006/main">
  <c r="S3" i="4" l="1"/>
  <c r="S36" i="4"/>
  <c r="S32" i="4"/>
  <c r="S28" i="4"/>
  <c r="S26" i="4"/>
  <c r="S23" i="4"/>
  <c r="S20" i="4"/>
  <c r="S8" i="4"/>
  <c r="S6" i="4"/>
  <c r="U2" i="4"/>
  <c r="T4" i="4"/>
  <c r="S31" i="4" s="1"/>
  <c r="T5" i="4"/>
  <c r="T6" i="4"/>
  <c r="T7" i="4"/>
  <c r="T8" i="4"/>
  <c r="T9" i="4"/>
  <c r="T10" i="4"/>
  <c r="T11" i="4"/>
  <c r="T12" i="4"/>
  <c r="S34" i="4" s="1"/>
  <c r="T13" i="4"/>
  <c r="T14" i="4"/>
  <c r="S35" i="4" s="1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" i="4"/>
  <c r="S17" i="4" s="1"/>
  <c r="S9" i="4" l="1"/>
  <c r="S21" i="4"/>
  <c r="S33" i="4"/>
  <c r="S10" i="4"/>
  <c r="S22" i="4"/>
  <c r="S11" i="4"/>
  <c r="S12" i="4"/>
  <c r="S24" i="4"/>
  <c r="S13" i="4"/>
  <c r="S25" i="4"/>
  <c r="S14" i="4"/>
  <c r="S15" i="4"/>
  <c r="S27" i="4"/>
  <c r="S4" i="4"/>
  <c r="S16" i="4"/>
  <c r="S5" i="4"/>
  <c r="S29" i="4"/>
  <c r="S18" i="4"/>
  <c r="S30" i="4"/>
  <c r="S7" i="4"/>
  <c r="S19" i="4"/>
  <c r="H4" i="4"/>
  <c r="H5" i="4" l="1"/>
  <c r="H6" i="4" l="1"/>
  <c r="H7" i="4" l="1"/>
  <c r="H8" i="4"/>
  <c r="H9" i="4" l="1"/>
  <c r="H10" i="4" l="1"/>
  <c r="H11" i="4" l="1"/>
  <c r="H12" i="4" l="1"/>
  <c r="H13" i="4" l="1"/>
  <c r="H14" i="4" l="1"/>
  <c r="H15" i="4" l="1"/>
  <c r="H16" i="4" l="1"/>
  <c r="H17" i="4" l="1"/>
  <c r="H18" i="4" l="1"/>
  <c r="H19" i="4" l="1"/>
  <c r="H20" i="4" l="1"/>
  <c r="H21" i="4" l="1"/>
  <c r="H22" i="4" l="1"/>
  <c r="H23" i="4" l="1"/>
  <c r="H24" i="4" l="1"/>
  <c r="H25" i="4" l="1"/>
  <c r="H26" i="4" l="1"/>
  <c r="H27" i="4" l="1"/>
  <c r="H28" i="4" l="1"/>
  <c r="H29" i="4" l="1"/>
  <c r="H30" i="4" l="1"/>
  <c r="H31" i="4" l="1"/>
  <c r="H32" i="4" l="1"/>
  <c r="H33" i="4" l="1"/>
  <c r="H34" i="4" l="1"/>
  <c r="H35" i="4" l="1"/>
  <c r="R35" i="4" l="1"/>
  <c r="U35" i="4" s="1"/>
  <c r="R33" i="4"/>
  <c r="U33" i="4" s="1"/>
  <c r="R31" i="4"/>
  <c r="U31" i="4" s="1"/>
  <c r="R29" i="4"/>
  <c r="U29" i="4" s="1"/>
  <c r="R34" i="4"/>
  <c r="U34" i="4" s="1"/>
  <c r="H36" i="4"/>
  <c r="R36" i="4" l="1"/>
  <c r="U36" i="4" s="1"/>
  <c r="R6" i="4"/>
  <c r="U6" i="4" s="1"/>
  <c r="R5" i="4"/>
  <c r="U5" i="4" s="1"/>
  <c r="R3" i="4"/>
  <c r="U3" i="4" s="1"/>
  <c r="R4" i="4"/>
  <c r="U4" i="4" s="1"/>
  <c r="R8" i="4"/>
  <c r="U8" i="4" s="1"/>
  <c r="R7" i="4"/>
  <c r="U7" i="4" s="1"/>
  <c r="R9" i="4"/>
  <c r="U9" i="4" s="1"/>
  <c r="R10" i="4"/>
  <c r="U10" i="4" s="1"/>
  <c r="R11" i="4"/>
  <c r="U11" i="4" s="1"/>
  <c r="R15" i="4"/>
  <c r="U15" i="4" s="1"/>
  <c r="R13" i="4"/>
  <c r="U13" i="4" s="1"/>
  <c r="R12" i="4"/>
  <c r="U12" i="4" s="1"/>
  <c r="R14" i="4"/>
  <c r="U14" i="4" s="1"/>
  <c r="R16" i="4"/>
  <c r="U16" i="4" s="1"/>
  <c r="R17" i="4"/>
  <c r="U17" i="4" s="1"/>
  <c r="R18" i="4"/>
  <c r="U18" i="4" s="1"/>
  <c r="R19" i="4"/>
  <c r="U19" i="4" s="1"/>
  <c r="R20" i="4"/>
  <c r="U20" i="4" s="1"/>
  <c r="R21" i="4"/>
  <c r="U21" i="4" s="1"/>
  <c r="R22" i="4"/>
  <c r="U22" i="4" s="1"/>
  <c r="R23" i="4"/>
  <c r="U23" i="4" s="1"/>
  <c r="R24" i="4"/>
  <c r="U24" i="4" s="1"/>
  <c r="R25" i="4"/>
  <c r="U25" i="4" s="1"/>
  <c r="R28" i="4"/>
  <c r="U28" i="4" s="1"/>
  <c r="R32" i="4"/>
  <c r="U32" i="4" s="1"/>
  <c r="R30" i="4"/>
  <c r="U30" i="4" s="1"/>
  <c r="R27" i="4"/>
  <c r="U27" i="4" s="1"/>
  <c r="R26" i="4"/>
  <c r="U2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  <author>tc={0F245281-EEE9-4FDC-890E-6122DB830907}</author>
  </authors>
  <commentList>
    <comment ref="F2" authorId="0" shapeId="0" xr:uid="{72163CEE-6296-46A3-ABD3-3961B8A7AC38}">
      <text>
        <r>
          <rPr>
            <sz val="9"/>
            <color indexed="81"/>
            <rFont val="돋움"/>
            <family val="3"/>
            <charset val="129"/>
          </rPr>
          <t>키맵의 한글명</t>
        </r>
      </text>
    </comment>
    <comment ref="G2" authorId="0" shapeId="0" xr:uid="{5239ECCF-243B-4A47-8967-594A547E36F1}">
      <text>
        <r>
          <rPr>
            <sz val="9"/>
            <color indexed="81"/>
            <rFont val="Tahoma"/>
            <family val="2"/>
          </rPr>
          <t>SEQ1, SEQ2, SEQ3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
KEYMAP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SEQ1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0 </t>
        </r>
        <r>
          <rPr>
            <sz val="9"/>
            <color indexed="81"/>
            <rFont val="돋움"/>
            <family val="3"/>
            <charset val="129"/>
          </rPr>
          <t>이어야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하나의</t>
        </r>
        <r>
          <rPr>
            <sz val="9"/>
            <color indexed="81"/>
            <rFont val="Tahoma"/>
            <family val="2"/>
          </rPr>
          <t xml:space="preserve"> KEYMAP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복수의</t>
        </r>
        <r>
          <rPr>
            <sz val="9"/>
            <color indexed="81"/>
            <rFont val="Tahoma"/>
            <family val="2"/>
          </rPr>
          <t xml:space="preserve"> SELECT</t>
        </r>
        <r>
          <rPr>
            <sz val="9"/>
            <color indexed="81"/>
            <rFont val="돋움"/>
            <family val="3"/>
            <charset val="129"/>
          </rPr>
          <t>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처리하여아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>.
(SEQ3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100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마지막에</t>
        </r>
        <r>
          <rPr>
            <sz val="9"/>
            <color indexed="81"/>
            <rFont val="Tahoma"/>
            <family val="2"/>
          </rPr>
          <t xml:space="preserve"> 999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마무리되어야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ID 0 200 100 DOSID CBB COOWNSER DOSACTEUR ACTID KEY_ACTID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ID 0 200 110 DOSID CBB COOWNORG DPRACTEUR ACTID KEY_ACTID
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ID 0 200 999 DOSID CBB COTDL TBL_PIIKEYMAP_TMP  </t>
        </r>
      </text>
    </comment>
    <comment ref="J2" authorId="0" shapeId="0" xr:uid="{C6DEBBFB-339C-4ACB-90A9-C7A0E7092038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키맵에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저장될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sql 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참조될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정보임</t>
        </r>
      </text>
    </comment>
    <comment ref="N2" authorId="0" shapeId="0" xr:uid="{7767BC26-6E1C-405E-8F18-FAE8305F9311}">
      <text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접급할때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키맵과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칼럼을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정의합니다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O2" authorId="0" shapeId="0" xr:uid="{79E857FE-F684-488C-B707-3D7E97F316F2}">
      <text>
        <r>
          <rPr>
            <b/>
            <sz val="9"/>
            <color indexed="81"/>
            <rFont val="돋움"/>
            <family val="3"/>
            <charset val="129"/>
          </rPr>
          <t>테이블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접근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정의된</t>
        </r>
        <r>
          <rPr>
            <b/>
            <sz val="9"/>
            <color indexed="81"/>
            <rFont val="Tahoma"/>
            <family val="2"/>
          </rPr>
          <t xml:space="preserve"> KEYMAP</t>
        </r>
        <r>
          <rPr>
            <b/>
            <sz val="9"/>
            <color indexed="81"/>
            <rFont val="돋움"/>
            <family val="3"/>
            <charset val="129"/>
          </rPr>
          <t>명의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조인</t>
        </r>
        <r>
          <rPr>
            <b/>
            <sz val="9"/>
            <color indexed="81"/>
            <rFont val="Tahoma"/>
            <family val="2"/>
          </rPr>
          <t xml:space="preserve"> SQL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생성되어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" authorId="0" shapeId="0" xr:uid="{AE4BE236-A589-4B6C-9A5A-C88DA243B367}">
      <text>
        <r>
          <rPr>
            <b/>
            <sz val="9"/>
            <color indexed="81"/>
            <rFont val="돋움"/>
            <family val="3"/>
            <charset val="129"/>
          </rPr>
          <t xml:space="preserve">KEYMAP 설정의 
자동수식 이후 
추가적으로 SQL을 수정하여 
반영하는 MANUAL방식을 허용합니다.
그외 자동 수식은 모두 AUTO로 세팅하면 됩니다
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5" authorId="1" shapeId="0" xr:uid="{569C208F-3442-41A3-AEFE-0451A842D770}">
      <text>
        <r>
          <rPr>
            <sz val="11"/>
            <color theme="1"/>
            <rFont val="맑은 고딕"/>
            <family val="2"/>
            <charset val="129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다른 ACTOR의 데이터도 같이 포함되므로 요건 면밀히 검토 필요</t>
        </r>
      </text>
    </comment>
  </commentList>
</comments>
</file>

<file path=xl/sharedStrings.xml><?xml version="1.0" encoding="utf-8"?>
<sst xmlns="http://schemas.openxmlformats.org/spreadsheetml/2006/main" count="462" uniqueCount="137">
  <si>
    <t>JOBID</t>
  </si>
  <si>
    <t>VERSION</t>
  </si>
  <si>
    <t>STEPID</t>
  </si>
  <si>
    <t>OWNER</t>
  </si>
  <si>
    <t>TABLE_NAME</t>
  </si>
  <si>
    <t>SEQ1</t>
  </si>
  <si>
    <t>SEQ2</t>
  </si>
  <si>
    <t>SEQ3</t>
  </si>
  <si>
    <t>WHERE_COL</t>
  </si>
  <si>
    <t>WHERE_KEY_NAME</t>
  </si>
  <si>
    <t>FACID</t>
  </si>
  <si>
    <t>KEY_FACID</t>
  </si>
  <si>
    <t/>
  </si>
  <si>
    <t>DEPID</t>
  </si>
  <si>
    <t>KEY_DEPID</t>
  </si>
  <si>
    <t>REGID,RIMORDRE</t>
  </si>
  <si>
    <t>KEY_REGIMPUTATION</t>
  </si>
  <si>
    <t>ACTID</t>
  </si>
  <si>
    <t>KEY_ACTID</t>
  </si>
  <si>
    <t>DOSID</t>
  </si>
  <si>
    <t>KEY_DOSID</t>
  </si>
  <si>
    <t>CCAID</t>
  </si>
  <si>
    <t>KEY_CCAID</t>
  </si>
  <si>
    <t>DB</t>
    <phoneticPr fontId="3" type="noConversion"/>
  </si>
  <si>
    <t>1</t>
  </si>
  <si>
    <t>GEN_KEYMAP</t>
  </si>
  <si>
    <t>ACT_ID</t>
  </si>
  <si>
    <t>KEY_ITRID</t>
  </si>
  <si>
    <t>ITRID</t>
  </si>
  <si>
    <t>KEY_PFIID</t>
  </si>
  <si>
    <t>PFIID</t>
  </si>
  <si>
    <t>재무번호</t>
  </si>
  <si>
    <t>KEY_RIBID</t>
  </si>
  <si>
    <t>RIBID</t>
  </si>
  <si>
    <t>KEY_ASSID</t>
  </si>
  <si>
    <t>ASSID</t>
  </si>
  <si>
    <t>KEY_BIMID</t>
  </si>
  <si>
    <t>BIMID</t>
  </si>
  <si>
    <t>FLIDOSID</t>
  </si>
  <si>
    <t>DOSIDPROSPECT</t>
  </si>
  <si>
    <t>KEY_COLID</t>
  </si>
  <si>
    <t>COLID</t>
  </si>
  <si>
    <t>KEY_CARID</t>
  </si>
  <si>
    <t>CARID</t>
  </si>
  <si>
    <t>KEY_ADRID</t>
  </si>
  <si>
    <t>ADRID</t>
  </si>
  <si>
    <t>KEY_SINID</t>
  </si>
  <si>
    <t>SINID</t>
  </si>
  <si>
    <t>KEY_TPVID</t>
  </si>
  <si>
    <t>TPVID</t>
  </si>
  <si>
    <t>KEY_CVAID</t>
  </si>
  <si>
    <t>CVAID</t>
  </si>
  <si>
    <t>문서번호</t>
  </si>
  <si>
    <t>KEY_DMAID</t>
  </si>
  <si>
    <t>DMAID</t>
  </si>
  <si>
    <t>심사번호</t>
  </si>
  <si>
    <t>KEY_ANAID</t>
  </si>
  <si>
    <t>ANAID</t>
  </si>
  <si>
    <t>WHERESTR</t>
  </si>
  <si>
    <t>KEYMAP_ID</t>
  </si>
  <si>
    <t>TWO번호</t>
  </si>
  <si>
    <t>KEY_COFID</t>
  </si>
  <si>
    <t>COFID</t>
  </si>
  <si>
    <t>KEY_TWOID</t>
  </si>
  <si>
    <t>TWOID</t>
  </si>
  <si>
    <t>계약번호</t>
  </si>
  <si>
    <t>KEY_DOSNUM</t>
  </si>
  <si>
    <t>DOSNUM</t>
  </si>
  <si>
    <t>고객번호</t>
  </si>
  <si>
    <t>KEY_ACTCODE</t>
  </si>
  <si>
    <t>ACTCODE</t>
  </si>
  <si>
    <t>입금상세</t>
  </si>
  <si>
    <t>KEY_NAME</t>
    <phoneticPr fontId="9" type="noConversion"/>
  </si>
  <si>
    <t>KEY_COLS</t>
    <phoneticPr fontId="9" type="noConversion"/>
  </si>
  <si>
    <t>REFSTR</t>
  </si>
  <si>
    <t>COTDL</t>
    <phoneticPr fontId="9" type="noConversion"/>
  </si>
  <si>
    <t>MANUAL</t>
    <phoneticPr fontId="9" type="noConversion"/>
  </si>
  <si>
    <t>DOSACTEUR</t>
    <phoneticPr fontId="9" type="noConversion"/>
  </si>
  <si>
    <t>ACTID</t>
    <phoneticPr fontId="9" type="noConversion"/>
  </si>
  <si>
    <t>AUTO</t>
    <phoneticPr fontId="9" type="noConversion"/>
  </si>
  <si>
    <t>DPRACTEUR</t>
    <phoneticPr fontId="9" type="noConversion"/>
  </si>
  <si>
    <t>TBL_PIIKEYMAP_TMP</t>
    <phoneticPr fontId="9" type="noConversion"/>
  </si>
  <si>
    <t>LKDOSRUBITRRUB</t>
    <phoneticPr fontId="9" type="noConversion"/>
  </si>
  <si>
    <t>DOSID</t>
    <phoneticPr fontId="9" type="noConversion"/>
  </si>
  <si>
    <t>DPRPROPFINANCE</t>
    <phoneticPr fontId="9" type="noConversion"/>
  </si>
  <si>
    <t>DOSBIM</t>
    <phoneticPr fontId="9" type="noConversion"/>
  </si>
  <si>
    <t>COOWNSER</t>
    <phoneticPr fontId="9" type="noConversion"/>
  </si>
  <si>
    <t>DOSACTTELVIRTUAL</t>
    <phoneticPr fontId="9" type="noConversion"/>
  </si>
  <si>
    <t>CCHVALUE</t>
    <phoneticPr fontId="9" type="noConversion"/>
  </si>
  <si>
    <t>DOCUMENTMANAGEMENT</t>
    <phoneticPr fontId="9" type="noConversion"/>
  </si>
  <si>
    <t>ANALYSIS</t>
    <phoneticPr fontId="9" type="noConversion"/>
  </si>
  <si>
    <t>CHARGEOFF</t>
    <phoneticPr fontId="9" type="noConversion"/>
  </si>
  <si>
    <t>TWORKOUT</t>
    <phoneticPr fontId="9" type="noConversion"/>
  </si>
  <si>
    <t>DOSSIER</t>
    <phoneticPr fontId="9" type="noConversion"/>
  </si>
  <si>
    <t>ACTEUR</t>
    <phoneticPr fontId="9" type="noConversion"/>
  </si>
  <si>
    <t>REGID,RIMORDRE</t>
    <phoneticPr fontId="9" type="noConversion"/>
  </si>
  <si>
    <t>REGIMPUTATION</t>
    <phoneticPr fontId="9" type="noConversion"/>
  </si>
  <si>
    <t>FACID</t>
    <phoneticPr fontId="9" type="noConversion"/>
  </si>
  <si>
    <t>DEPID</t>
    <phoneticPr fontId="9" type="noConversion"/>
  </si>
  <si>
    <t>COOWNORG</t>
    <phoneticPr fontId="9" type="noConversion"/>
  </si>
  <si>
    <t>KEY 한글명</t>
    <phoneticPr fontId="3" type="noConversion"/>
  </si>
  <si>
    <t>입금번호</t>
    <phoneticPr fontId="3" type="noConversion"/>
  </si>
  <si>
    <t xml:space="preserve"> PARALLEL </t>
    <phoneticPr fontId="9" type="noConversion"/>
  </si>
  <si>
    <t>KEYMAP</t>
    <phoneticPr fontId="3" type="noConversion"/>
  </si>
  <si>
    <t>SIN번호</t>
    <phoneticPr fontId="3" type="noConversion"/>
  </si>
  <si>
    <t>TPV번호</t>
    <phoneticPr fontId="3" type="noConversion"/>
  </si>
  <si>
    <t>CVA번호</t>
    <phoneticPr fontId="3" type="noConversion"/>
  </si>
  <si>
    <t>재무번호</t>
    <phoneticPr fontId="3" type="noConversion"/>
  </si>
  <si>
    <t>SQL_TYPE</t>
    <phoneticPr fontId="3" type="noConversion"/>
  </si>
  <si>
    <t>자동 수식 칼럼</t>
    <phoneticPr fontId="3" type="noConversion"/>
  </si>
  <si>
    <t>INSERTSTR</t>
    <phoneticPr fontId="3" type="noConversion"/>
  </si>
  <si>
    <t>고객ID</t>
    <phoneticPr fontId="3" type="noConversion"/>
  </si>
  <si>
    <t>TBL_PIIEXTRACT</t>
    <phoneticPr fontId="9" type="noConversion"/>
  </si>
  <si>
    <t>계약ID</t>
    <phoneticPr fontId="3" type="noConversion"/>
  </si>
  <si>
    <t>자산번호</t>
    <phoneticPr fontId="3" type="noConversion"/>
  </si>
  <si>
    <t>견적번호</t>
    <phoneticPr fontId="3" type="noConversion"/>
  </si>
  <si>
    <t>ACTRIB</t>
    <phoneticPr fontId="9" type="noConversion"/>
  </si>
  <si>
    <t>보험번호</t>
    <phoneticPr fontId="3" type="noConversion"/>
  </si>
  <si>
    <t>ASSDOSSIER</t>
    <phoneticPr fontId="9" type="noConversion"/>
  </si>
  <si>
    <t>부동자산번호</t>
    <phoneticPr fontId="3" type="noConversion"/>
  </si>
  <si>
    <t>청구번호</t>
    <phoneticPr fontId="3" type="noConversion"/>
  </si>
  <si>
    <t>FACLIGNE</t>
    <phoneticPr fontId="9" type="noConversion"/>
  </si>
  <si>
    <t>채권번호</t>
    <phoneticPr fontId="3" type="noConversion"/>
  </si>
  <si>
    <t>COLLECTIONCASE</t>
    <phoneticPr fontId="9" type="noConversion"/>
  </si>
  <si>
    <t>DEPLIGNE</t>
    <phoneticPr fontId="9" type="noConversion"/>
  </si>
  <si>
    <t>담보번호</t>
    <phoneticPr fontId="3" type="noConversion"/>
  </si>
  <si>
    <t>COLOBJECT</t>
    <phoneticPr fontId="9" type="noConversion"/>
  </si>
  <si>
    <t>카드번호</t>
    <phoneticPr fontId="3" type="noConversion"/>
  </si>
  <si>
    <t>CARD</t>
    <phoneticPr fontId="9" type="noConversion"/>
  </si>
  <si>
    <t>주소번호</t>
    <phoneticPr fontId="3" type="noConversion"/>
  </si>
  <si>
    <t>ACTADRESSE</t>
    <phoneticPr fontId="9" type="noConversion"/>
  </si>
  <si>
    <t>SINDOSBIMITRRUB</t>
    <phoneticPr fontId="9" type="noConversion"/>
  </si>
  <si>
    <t>업로드하는 파일 기준으로 해당 스텝의 모든 테이블설정이 Delete/Insert 되오니 작업할 위치에서 행추가 또는 수정하세요!  노란색 칼럼은 필수입니다!</t>
    <phoneticPr fontId="3" type="noConversion"/>
  </si>
  <si>
    <t>직접 insert문 생성</t>
    <phoneticPr fontId="9" type="noConversion"/>
  </si>
  <si>
    <t>PII_POLICY3_DAON_CORE_DELETE</t>
  </si>
  <si>
    <t>DAON</t>
    <phoneticPr fontId="9" type="noConversion"/>
  </si>
  <si>
    <t>PII_POLICY3_CORE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</si>
</sst>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indexed="8"/>
      <name val="맑은 고딕"/>
      <family val="2"/>
      <scheme val="minor"/>
    </font>
    <font>
      <sz val="10"/>
      <color indexed="8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8" fillId="0" borderId="0" xfId="1" applyFo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1" applyFont="1">
      <alignment vertical="center"/>
    </xf>
    <xf numFmtId="0" fontId="1" fillId="0" borderId="0" xfId="1" applyFont="1">
      <alignment vertical="center"/>
    </xf>
    <xf numFmtId="0" fontId="11" fillId="5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2" fillId="6" borderId="0" xfId="0" applyFont="1" applyFill="1">
      <alignment vertical="center"/>
    </xf>
    <xf numFmtId="0" fontId="12" fillId="6" borderId="1" xfId="0" applyFont="1" applyFill="1" applyBorder="1">
      <alignment vertical="center"/>
    </xf>
    <xf numFmtId="0" fontId="12" fillId="5" borderId="1" xfId="0" applyFont="1" applyFill="1" applyBorder="1">
      <alignment vertical="center"/>
    </xf>
  </cellXfs>
  <cellStyles count="2">
    <cellStyle name="표준" xfId="0" builtinId="0"/>
    <cellStyle name="표준 2" xfId="1" xr:uid="{6EA87B06-1751-4E7C-9139-148C9DD418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2C7D-6EB2-4A9E-9483-A541E4849D09}">
  <sheetPr>
    <tabColor theme="9" tint="-0.249977111117893"/>
  </sheetPr>
  <dimension ref="A1:U36"/>
  <sheetViews>
    <sheetView tabSelected="1" topLeftCell="G1" zoomScale="85" zoomScaleNormal="85" workbookViewId="0">
      <pane ySplit="2" topLeftCell="A23" activePane="bottomLeft" state="frozen"/>
      <selection activeCell="C1" sqref="C1"/>
      <selection pane="bottomLeft" activeCell="M49" sqref="M49"/>
    </sheetView>
  </sheetViews>
  <sheetFormatPr defaultRowHeight="16.5" x14ac:dyDescent="0.3"/>
  <cols>
    <col min="1" max="1" width="27.875" style="1" customWidth="1"/>
    <col min="2" max="2" width="7.875" style="1" customWidth="1"/>
    <col min="3" max="3" width="13.75" style="1" bestFit="1" customWidth="1"/>
    <col min="4" max="4" width="20.125" style="1" customWidth="1"/>
    <col min="5" max="5" width="20.75" style="1" customWidth="1"/>
    <col min="6" max="6" width="17.375" style="1" customWidth="1"/>
    <col min="7" max="7" width="5.75" style="1" customWidth="1"/>
    <col min="8" max="8" width="5.75" style="1" bestFit="1" customWidth="1"/>
    <col min="9" max="9" width="5.875" style="1" customWidth="1"/>
    <col min="10" max="10" width="18.875" style="1" customWidth="1"/>
    <col min="11" max="11" width="5.375" style="1" bestFit="1" customWidth="1"/>
    <col min="12" max="12" width="17.25" style="1" bestFit="1" customWidth="1"/>
    <col min="13" max="13" width="16.75" style="1" customWidth="1"/>
    <col min="14" max="14" width="17.875" style="1" customWidth="1"/>
    <col min="15" max="15" width="23.375" style="1" customWidth="1"/>
    <col min="16" max="16" width="8.875" style="1" customWidth="1"/>
    <col min="17" max="17" width="13.875" style="1" customWidth="1"/>
    <col min="18" max="18" width="30.75" style="1" customWidth="1"/>
    <col min="19" max="19" width="32.875" style="1" customWidth="1"/>
    <col min="20" max="20" width="35.25" style="1" customWidth="1"/>
    <col min="21" max="21" width="29" style="1" customWidth="1"/>
    <col min="22" max="16384" width="9" style="1"/>
  </cols>
  <sheetData>
    <row r="1" spans="1:21" x14ac:dyDescent="0.3">
      <c r="A1" s="2" t="s">
        <v>103</v>
      </c>
      <c r="B1" s="8" t="s">
        <v>132</v>
      </c>
      <c r="R1" s="9" t="s">
        <v>109</v>
      </c>
      <c r="S1" s="9" t="s">
        <v>109</v>
      </c>
      <c r="T1" s="9" t="s">
        <v>109</v>
      </c>
      <c r="U1" s="10" t="s">
        <v>133</v>
      </c>
    </row>
    <row r="2" spans="1:21" x14ac:dyDescent="0.3">
      <c r="A2" s="3" t="s">
        <v>0</v>
      </c>
      <c r="B2" s="3" t="s">
        <v>1</v>
      </c>
      <c r="C2" s="3" t="s">
        <v>2</v>
      </c>
      <c r="D2" s="3" t="s">
        <v>59</v>
      </c>
      <c r="E2" s="3" t="s">
        <v>72</v>
      </c>
      <c r="F2" s="3" t="s">
        <v>100</v>
      </c>
      <c r="G2" s="3" t="s">
        <v>5</v>
      </c>
      <c r="H2" s="3" t="s">
        <v>6</v>
      </c>
      <c r="I2" s="3" t="s">
        <v>7</v>
      </c>
      <c r="J2" s="3" t="s">
        <v>73</v>
      </c>
      <c r="K2" s="3" t="s">
        <v>23</v>
      </c>
      <c r="L2" s="3" t="s">
        <v>3</v>
      </c>
      <c r="M2" s="3" t="s">
        <v>4</v>
      </c>
      <c r="N2" s="3" t="s">
        <v>8</v>
      </c>
      <c r="O2" s="3" t="s">
        <v>9</v>
      </c>
      <c r="P2" s="4" t="s">
        <v>102</v>
      </c>
      <c r="Q2" s="3" t="s">
        <v>108</v>
      </c>
      <c r="R2" s="5" t="s">
        <v>110</v>
      </c>
      <c r="S2" s="5" t="s">
        <v>58</v>
      </c>
      <c r="T2" s="5" t="s">
        <v>74</v>
      </c>
      <c r="U2" s="4" t="str">
        <f>"DELETE FROM COTDL.TBL_PIISTEPTABLE where jobid='"&amp;A3&amp;"' and version='"&amp;B3&amp;"' and stepid='"&amp;C3&amp;"';"</f>
        <v>DELETE FROM COTDL.TBL_PIISTEPTABLE where jobid='PII_POLICY3_DAON_CORE_DELETE' and version='1' and stepid='GEN_KEYMAP';</v>
      </c>
    </row>
    <row r="3" spans="1:21" s="14" customFormat="1" ht="13.5" x14ac:dyDescent="0.3">
      <c r="A3" s="12" t="s">
        <v>134</v>
      </c>
      <c r="B3" s="12" t="s">
        <v>24</v>
      </c>
      <c r="C3" s="12" t="s">
        <v>25</v>
      </c>
      <c r="D3" s="12" t="s">
        <v>136</v>
      </c>
      <c r="E3" s="12" t="s">
        <v>18</v>
      </c>
      <c r="F3" s="12" t="s">
        <v>111</v>
      </c>
      <c r="G3" s="12">
        <v>10</v>
      </c>
      <c r="H3" s="12">
        <v>100</v>
      </c>
      <c r="I3" s="12">
        <v>1</v>
      </c>
      <c r="J3" s="12" t="s">
        <v>17</v>
      </c>
      <c r="K3" s="12" t="s">
        <v>135</v>
      </c>
      <c r="L3" s="12" t="s">
        <v>75</v>
      </c>
      <c r="M3" s="12" t="s">
        <v>112</v>
      </c>
      <c r="N3" s="12" t="s">
        <v>26</v>
      </c>
      <c r="O3" s="12"/>
      <c r="P3" s="12">
        <v>4</v>
      </c>
      <c r="Q3" s="13" t="s">
        <v>76</v>
      </c>
      <c r="R3" s="12" t="str">
        <f>IF(A3="","","INSERT INTO COTDL.TBL_PIIKEYMAP"&amp;IF(AND(COUNTIF(H:H,H3)&gt;1,I3&lt;999),"_TMP","")&amp;"(KEYMAP_ID, DB, KEY_NAME, BASEDATE, CUSTID, VAL1, EXPECTED_ARC_DEL_DATE) ")</f>
        <v xml:space="preserve">INSERT INTO COTDL.TBL_PIIKEYMAP(KEYMAP_ID, DB, KEY_NAME, BASEDATE, CUSTID, VAL1, EXPECTED_ARC_DEL_DATE) </v>
      </c>
      <c r="S3" s="12" t="str">
        <f>IF(A3="","","SELECT "&amp;IF(I3=999,"DISTINCT ","")&amp;"''"&amp;D3&amp;"'',''"&amp;K3&amp;"'',''"&amp;E3&amp;"'', "&amp;"TO_DATE(''#BASEDATE'',''yyyy/mm/dd'')"&amp;", "&amp;SUBSTITUTE(J3,"ACTID","ACTID")&amp;", "&amp;SUBSTITUTE(J3,"ACTID","ACTID")&amp;" , EXPECTED_ARC_DEL_DATE FROM "&amp;IF(I3=999, "COTDL.TBL_PIIKEYMAP_TMP A",L3&amp;"."&amp;M3)&amp;" WHERE EXCLUDE_REASON IS NULL AND ARCHIVE_DATE IS NULL AND DELETE_DATE IS NULL AND JOBID=''#JOBID''  and orderid=#ORDERID")</f>
        <v>SELECT ''PII_POLICY3_CORE'',''DAON'',''KEY_ACTID'', TO_DATE(''#BASEDATE'',''yyyy/mm/dd''), ACTID, ACTID , EXPECTED_ARC_DEL_DATE FROM COTDL.TBL_PIIEXTRACT WHERE EXCLUDE_REASON IS NULL AND ARCHIVE_DATE IS NULL AND DELETE_DATE IS NULL AND JOBID=''#JOBID''  and orderid=#ORDERID</v>
      </c>
      <c r="T3" s="12" t="str">
        <f>IF(A3="","","B.KEY_NAME = ''"&amp;E3&amp;"'' AND B.KEYMAP_ID = ''#KEYMAP_ID'' AND B.BASEDATE = TO_DATE(''#BASEDATE'',''yyyy/mm/dd'')"&amp;" AND A."&amp;"#WHERECOL1"&amp;" = B.VAL1"&amp;IF(IFERROR(MID(J3&amp;","&amp;",",FIND(",",J3&amp;","&amp;",",1)+1,FIND(",",J3&amp;","&amp;",",FIND(",",J3&amp;","&amp;",",1)+1)-FIND(",",J3&amp;","&amp;",",1)-1),"")="", ""," AND A."&amp;"#WHERECOL2"&amp;" = B.VAL2")&amp;IF(IFERROR(MID(J3&amp;",",FIND(",",J3&amp;",",FIND(",",J3&amp;",",1)+1)+1,FIND(",",J3&amp;",",FIND(",",J3&amp;",",FIND(",",J3&amp;",",1)+1)+1)-FIND(",",J3&amp;",",FIND(",",J3&amp;",",1)+1)-1),"")="", ""," AND A."&amp;"#WHERECOL3"&amp;" = B.VAL3")&amp;IF(IFERROR(SUBSTITUTE(MID(J3&amp;",",FIND(",",J3&amp;",",FIND(",",J3&amp;",",FIND(",",J3&amp;",",1)+1)+1)+1,LEN(J3)),",",""),"")="", ""," AND A."&amp;"#WHERECOL4"&amp;" = B.VAL4"))</f>
        <v>B.KEY_NAME = ''KEY_ACTID'' AND B.KEYMAP_ID = ''#KEYMAP_ID'' AND B.BASEDATE = TO_DATE(''#BASEDATE'',''yyyy/mm/dd'') AND A.#WHERECOL1 = B.VAL1</v>
      </c>
      <c r="U3" s="16" t="str">
        <f>"INSERT INTO COTDL.TBL_PIISTEPTABLE VALUES('"&amp;A3&amp;"','"&amp;B3&amp;"','"&amp;C3&amp;"','"&amp;K3&amp;"','"&amp;L3&amp;"','"&amp;M3&amp;"',NULL, NULL,'KEYMAP',NULL,NULL,NULL,NULL,'"&amp;G3&amp;"','"&amp;H3&amp;"','"&amp;I3&amp;"',NULL,'"&amp;F3&amp;"','"&amp;N3&amp;"','"&amp;O3&amp;"','"&amp;P3&amp;"',NULL,'"&amp;S3&amp;"','"&amp;R3&amp;S3&amp;"','"&amp;D3&amp;"','"&amp;E3&amp;"','"&amp;J3&amp;"','"&amp;T3&amp;"','"&amp;Q3&amp;"',now(),now(),'member_it','member_it');"</f>
        <v>INSERT INTO COTDL.TBL_PIISTEPTABLE VALUES('PII_POLICY3_DAON_CORE_DELETE','1','GEN_KEYMAP','DAON','COTDL','TBL_PIIEXTRACT',NULL, NULL,'KEYMAP',NULL,NULL,NULL,NULL,'10','100','1',NULL,'고객ID','ACT_ID','','4',NULL,'SELECT ''PII_POLICY3_CORE'',''DAON'',''KEY_ACTID'', TO_DATE(''#BASEDATE'',''yyyy/mm/dd''), ACTID, ACTID , EXPECTED_ARC_DEL_DATE FROM COTDL.TBL_PIIEXTRACT WHERE EXCLUDE_REASON IS NULL AND ARCHIVE_DATE IS NULL AND DELETE_DATE IS NULL AND JOBID=''#JOBID''  and orderid=#ORDERID','INSERT INTO COTDL.TBL_PIIKEYMAP(KEYMAP_ID, DB, KEY_NAME, BASEDATE, CUSTID, VAL1, EXPECTED_ARC_DEL_DATE) SELECT ''PII_POLICY3_CORE'',''DAON'',''KEY_ACTID'', TO_DATE(''#BASEDATE'',''yyyy/mm/dd''), ACTID, ACTID , EXPECTED_ARC_DEL_DATE FROM COTDL.TBL_PIIEXTRACT WHERE EXCLUDE_REASON IS NULL AND ARCHIVE_DATE IS NULL AND DELETE_DATE IS NULL AND JOBID=''#JOBID''  and orderid=#ORDERID','PII_POLICY3_CORE','KEY_ACTID','ACTID','B.KEY_NAME = ''KEY_ACTID'' AND B.KEYMAP_ID = ''#KEYMAP_ID'' AND B.BASEDATE = TO_DATE(''#BASEDATE'',''yyyy/mm/dd'') AND A.#WHERECOL1 = B.VAL1','MANUAL',now(),now(),'member_it','member_it');</v>
      </c>
    </row>
    <row r="4" spans="1:21" s="7" customFormat="1" ht="13.5" x14ac:dyDescent="0.3">
      <c r="A4" s="11" t="s">
        <v>134</v>
      </c>
      <c r="B4" s="6" t="s">
        <v>24</v>
      </c>
      <c r="C4" s="6" t="s">
        <v>25</v>
      </c>
      <c r="D4" s="11" t="s">
        <v>136</v>
      </c>
      <c r="E4" s="6" t="s">
        <v>20</v>
      </c>
      <c r="F4" s="6" t="s">
        <v>113</v>
      </c>
      <c r="G4" s="6">
        <v>10</v>
      </c>
      <c r="H4" s="6">
        <f t="shared" ref="H4:H35" si="0">IF(E3&lt;&gt;E4,100+H3,H3)</f>
        <v>200</v>
      </c>
      <c r="I4" s="6">
        <v>100</v>
      </c>
      <c r="J4" s="6" t="s">
        <v>19</v>
      </c>
      <c r="K4" s="6" t="s">
        <v>135</v>
      </c>
      <c r="L4" s="6" t="s">
        <v>86</v>
      </c>
      <c r="M4" s="6" t="s">
        <v>77</v>
      </c>
      <c r="N4" s="6" t="s">
        <v>78</v>
      </c>
      <c r="O4" s="6" t="s">
        <v>18</v>
      </c>
      <c r="P4" s="6">
        <v>4</v>
      </c>
      <c r="Q4" s="6" t="s">
        <v>79</v>
      </c>
      <c r="R4" s="6" t="str">
        <f>IF(A4="","","INSERT INTO COTDL.TBL_PIIKEYMAP"&amp;IF(AND(COUNTIF(H:H,H4)&gt;1,I4&lt;999),"_TMP","")&amp;"(KEYMAP_ID, DB, KEY_NAME, BASEDATE, CUSTID, VAL1, EXPECTED_ARC_DEL_DATE) ")</f>
        <v xml:space="preserve">INSERT INTO COTDL.TBL_PIIKEYMAP_TMP(KEYMAP_ID, DB, KEY_NAME, BASEDATE, CUSTID, VAL1, EXPECTED_ARC_DEL_DATE) </v>
      </c>
      <c r="S4" s="6" t="str">
        <f>"SELECT "&amp;IF(I4=999,"DISTINCT ","")&amp;"''"&amp;D3&amp;"'',''"&amp;K4&amp;"'',''"&amp;E4&amp;"'', TO_DATE(''#BASEDATE'',''yyyy/mm/dd''),"&amp;IF(I4=999," A.CUSTID, A.VAL1"&amp;IF(IFERROR(MID(J3&amp;","&amp;",",FIND(",",J3&amp;","&amp;",",1)+1,FIND(",",J3&amp;","&amp;",",FIND(",",J3&amp;","&amp;",",1)+1)-FIND(",",J3&amp;","&amp;",",1)-1),"")="","",", A.VAL2")&amp;IF(IFERROR(MID(J3&amp;",",FIND(",",J3&amp;",",FIND(",",J3&amp;",",1)+1)+1,FIND(",",J3&amp;",",FIND(",",J3&amp;",",FIND(",",J3&amp;",",1)+1)+1)-FIND(",",J3&amp;",",FIND(",",J3&amp;",",1)+1)-1),"")="","",", A.VAL3")&amp;IF(IFERROR(SUBSTITUTE(MID(J3&amp;",",FIND(",",J3&amp;",",FIND(",",J3&amp;",",FIND(",",J3&amp;",",1)+1)+1)+1,LEN(J3)),",",""),"")="","",", A.VAL4")&amp;""," B.CUSTID, A."&amp;SUBSTITUTE(J4,",",", A."))&amp;" , EXPECTED_ARC_DEL_DATE FROM "&amp;IF(I4=999, "COTDL.TBL_PIIKEYMAP_TMP A",L4&amp;"."&amp;M4&amp;" A, COTDL.TBL_PIIKEYMAP B")&amp;" WHERE" &amp;" "&amp; IF(I4=999,"DB = ''"&amp;K4&amp;"'' AND KEY_NAME = ''"&amp;E4&amp;"'' AND KEYMAP_ID = ''#KEYMAP_ID'' AND BASEDATE =TO_DATE(''#BASEDATE'',''yyyy/mm/dd'')", " "&amp;SUBSTITUTE(VLOOKUP(O4,E:T,16,FALSE),"#WHERECOL1",N4))</f>
        <v>SELECT ''PII_POLICY3_CORE'',''DAON'',''KEY_DOSID'', TO_DATE(''#BASEDATE'',''yyyy/mm/dd''), B.CUSTID, A.DOSID , EXPECTED_ARC_DEL_DATE FROM COOWNSER.DOSACTEUR A, COTDL.TBL_PIIKEYMAP B WHERE  B.KEY_NAME = ''KEY_ACTID'' AND B.KEYMAP_ID = ''#KEYMAP_ID'' AND B.BASEDATE = TO_DATE(''#BASEDATE'',''yyyy/mm/dd'') AND A.ACTID = B.VAL1</v>
      </c>
      <c r="T4" s="6" t="str">
        <f t="shared" ref="T4:T36" si="1">IF(A4="","","B.KEY_NAME = ''"&amp;E4&amp;"'' AND B.KEYMAP_ID = ''#KEYMAP_ID'' AND B.BASEDATE = TO_DATE(''#BASEDATE'',''yyyy/mm/dd'')"&amp;" AND A."&amp;"#WHERECOL1"&amp;" = B.VAL1"&amp;IF(IFERROR(MID(J4&amp;","&amp;",",FIND(",",J4&amp;","&amp;",",1)+1,FIND(",",J4&amp;","&amp;",",FIND(",",J4&amp;","&amp;",",1)+1)-FIND(",",J4&amp;","&amp;",",1)-1),"")="", ""," AND A."&amp;"#WHERECOL2"&amp;" = B.VAL2")&amp;IF(IFERROR(MID(J4&amp;",",FIND(",",J4&amp;",",FIND(",",J4&amp;",",1)+1)+1,FIND(",",J4&amp;",",FIND(",",J4&amp;",",FIND(",",J4&amp;",",1)+1)+1)-FIND(",",J4&amp;",",FIND(",",J4&amp;",",1)+1)-1),"")="", ""," AND A."&amp;"#WHERECOL3"&amp;" = B.VAL3")&amp;IF(IFERROR(SUBSTITUTE(MID(J4&amp;",",FIND(",",J4&amp;",",FIND(",",J4&amp;",",FIND(",",J4&amp;",",1)+1)+1)+1,LEN(J4)),",",""),"")="", ""," AND A."&amp;"#WHERECOL4"&amp;" = B.VAL4"))</f>
        <v>B.KEY_NAME = ''KEY_DOSID'' AND B.KEYMAP_ID = ''#KEYMAP_ID'' AND B.BASEDATE = TO_DATE(''#BASEDATE'',''yyyy/mm/dd'') AND A.#WHERECOL1 = B.VAL1</v>
      </c>
      <c r="U4" s="16" t="str">
        <f t="shared" ref="U4:U36" si="2">"INSERT INTO COTDL.TBL_PIISTEPTABLE VALUES('"&amp;A4&amp;"','"&amp;B4&amp;"','"&amp;C4&amp;"','"&amp;K4&amp;"','"&amp;L4&amp;"','"&amp;M4&amp;"',NULL, NULL,'KEYMAP',NULL,NULL,NULL,NULL,'"&amp;G4&amp;"','"&amp;H4&amp;"','"&amp;I4&amp;"',NULL,'"&amp;F4&amp;"','"&amp;N4&amp;"','"&amp;O4&amp;"','"&amp;P4&amp;"',NULL,'"&amp;S4&amp;"','"&amp;R4&amp;S4&amp;"','"&amp;D4&amp;"','"&amp;E4&amp;"','"&amp;J4&amp;"','"&amp;T4&amp;"','"&amp;Q4&amp;"',now(),now(),'member_it','member_it');"</f>
        <v>INSERT INTO COTDL.TBL_PIISTEPTABLE VALUES('PII_POLICY3_DAON_CORE_DELETE','1','GEN_KEYMAP','DAON','COOWNSER','DOSACTEUR',NULL, NULL,'KEYMAP',NULL,NULL,NULL,NULL,'10','200','100',NULL,'계약ID','ACTID','KEY_ACTID','4',NULL,'SELECT ''PII_POLICY3_CORE'',''DAON'',''KEY_DOSID'', TO_DATE(''#BASEDATE'',''yyyy/mm/dd''), B.CUSTID, A.DOSID , EXPECTED_ARC_DEL_DATE FROM COOWNSER.DOSACTEUR A, COTDL.TBL_PIIKEYMAP B WHERE  B.KEY_NAME = ''KEY_ACTID'' AND B.KEYMAP_ID = ''#KEYMAP_ID'' AND B.BASEDATE = TO_DATE(''#BASEDATE'',''yyyy/mm/dd'') AND A.ACTID = B.VAL1','INSERT INTO COTDL.TBL_PIIKEYMAP_TMP(KEYMAP_ID, DB, KEY_NAME, BASEDATE, CUSTID, VAL1, EXPECTED_ARC_DEL_DATE) SELECT ''PII_POLICY3_CORE'',''DAON'',''KEY_DOSID'', TO_DATE(''#BASEDATE'',''yyyy/mm/dd''), B.CUSTID, A.DOSID , EXPECTED_ARC_DEL_DATE FROM COOWNSER.DOSACTEUR A, COTDL.TBL_PIIKEYMAP B WHERE  B.KEY_NAME = ''KEY_ACTID'' AND B.KEYMAP_ID = ''#KEYMAP_ID'' AND B.BASEDATE = TO_DATE(''#BASEDATE'',''yyyy/mm/dd'') AND A.ACTID = B.VAL1','PII_POLICY3_CORE','KEY_DOSID','DOSID','B.KEY_NAME = ''KEY_DOSID'' AND B.KEYMAP_ID = ''#KEYMAP_ID'' AND B.BASEDATE = TO_DATE(''#BASEDATE'',''yyyy/mm/dd'') AND A.#WHERECOL1 = B.VAL1','AUTO',now(),now(),'member_it','member_it');</v>
      </c>
    </row>
    <row r="5" spans="1:21" s="7" customFormat="1" ht="13.5" x14ac:dyDescent="0.3">
      <c r="A5" s="11" t="s">
        <v>134</v>
      </c>
      <c r="B5" s="6" t="s">
        <v>24</v>
      </c>
      <c r="C5" s="6" t="s">
        <v>25</v>
      </c>
      <c r="D5" s="11" t="s">
        <v>136</v>
      </c>
      <c r="E5" s="6" t="s">
        <v>20</v>
      </c>
      <c r="F5" s="6" t="s">
        <v>113</v>
      </c>
      <c r="G5" s="6">
        <v>10</v>
      </c>
      <c r="H5" s="6">
        <f t="shared" si="0"/>
        <v>200</v>
      </c>
      <c r="I5" s="6">
        <v>110</v>
      </c>
      <c r="J5" s="6" t="s">
        <v>19</v>
      </c>
      <c r="K5" s="6" t="s">
        <v>135</v>
      </c>
      <c r="L5" s="6" t="s">
        <v>99</v>
      </c>
      <c r="M5" s="6" t="s">
        <v>80</v>
      </c>
      <c r="N5" s="6" t="s">
        <v>78</v>
      </c>
      <c r="O5" s="6" t="s">
        <v>18</v>
      </c>
      <c r="P5" s="6">
        <v>4</v>
      </c>
      <c r="Q5" s="6" t="s">
        <v>79</v>
      </c>
      <c r="R5" s="6" t="str">
        <f>IF(A5="","","INSERT INTO COTDL.TBL_PIIKEYMAP"&amp;IF(AND(COUNTIF(H:H,H5)&gt;1,I5&lt;999),"_TMP","")&amp;"(KEYMAP_ID, DB, KEY_NAME, BASEDATE, CUSTID, VAL1, EXPECTED_ARC_DEL_DATE) ")</f>
        <v xml:space="preserve">INSERT INTO COTDL.TBL_PIIKEYMAP_TMP(KEYMAP_ID, DB, KEY_NAME, BASEDATE, CUSTID, VAL1, EXPECTED_ARC_DEL_DATE) </v>
      </c>
      <c r="S5" s="6" t="str">
        <f>"SELECT "&amp;IF(I5=999,"DISTINCT ","")&amp;"''"&amp;D4&amp;"'',''"&amp;K5&amp;"'',''"&amp;E5&amp;"'', TO_DATE(''#BASEDATE'',''yyyy/mm/dd''),"&amp;IF(I5=999," A.CUSTID, A.VAL1"&amp;IF(IFERROR(MID(J4&amp;","&amp;",",FIND(",",J4&amp;","&amp;",",1)+1,FIND(",",J4&amp;","&amp;",",FIND(",",J4&amp;","&amp;",",1)+1)-FIND(",",J4&amp;","&amp;",",1)-1),"")="","",", A.VAL2")&amp;IF(IFERROR(MID(J4&amp;",",FIND(",",J4&amp;",",FIND(",",J4&amp;",",1)+1)+1,FIND(",",J4&amp;",",FIND(",",J4&amp;",",FIND(",",J4&amp;",",1)+1)+1)-FIND(",",J4&amp;",",FIND(",",J4&amp;",",1)+1)-1),"")="","",", A.VAL3")&amp;IF(IFERROR(SUBSTITUTE(MID(J4&amp;",",FIND(",",J4&amp;",",FIND(",",J4&amp;",",FIND(",",J4&amp;",",1)+1)+1)+1,LEN(J4)),",",""),"")="","",", A.VAL4")&amp;""," B.CUSTID, A."&amp;SUBSTITUTE(J5,",",", A."))&amp;" , EXPECTED_ARC_DEL_DATE FROM "&amp;IF(I5=999, "COTDL.TBL_PIIKEYMAP_TMP A",L5&amp;"."&amp;M5&amp;" A, COTDL.TBL_PIIKEYMAP B")&amp;" WHERE" &amp;" "&amp; IF(I5=999,"DB = ''"&amp;K5&amp;"'' AND KEY_NAME = ''"&amp;E5&amp;"'' AND KEYMAP_ID = ''#KEYMAP_ID'' AND BASEDATE =TO_DATE(''#BASEDATE'',''yyyy/mm/dd'')", " "&amp;SUBSTITUTE(VLOOKUP(O5,E:T,16,FALSE),"#WHERECOL1",N5))</f>
        <v>SELECT ''PII_POLICY3_CORE'',''DAON'',''KEY_DOSID'', TO_DATE(''#BASEDATE'',''yyyy/mm/dd''), B.CUSTID, A.DOSID , EXPECTED_ARC_DEL_DATE FROM COOWNORG.DPRACTEUR A, COTDL.TBL_PIIKEYMAP B WHERE  B.KEY_NAME = ''KEY_ACTID'' AND B.KEYMAP_ID = ''#KEYMAP_ID'' AND B.BASEDATE = TO_DATE(''#BASEDATE'',''yyyy/mm/dd'') AND A.ACTID = B.VAL1</v>
      </c>
      <c r="T5" s="6" t="str">
        <f t="shared" si="1"/>
        <v>B.KEY_NAME = ''KEY_DOSID'' AND B.KEYMAP_ID = ''#KEYMAP_ID'' AND B.BASEDATE = TO_DATE(''#BASEDATE'',''yyyy/mm/dd'') AND A.#WHERECOL1 = B.VAL1</v>
      </c>
      <c r="U5" s="16" t="str">
        <f t="shared" si="2"/>
        <v>INSERT INTO COTDL.TBL_PIISTEPTABLE VALUES('PII_POLICY3_DAON_CORE_DELETE','1','GEN_KEYMAP','DAON','COOWNORG','DPRACTEUR',NULL, NULL,'KEYMAP',NULL,NULL,NULL,NULL,'10','200','110',NULL,'계약ID','ACTID','KEY_ACTID','4',NULL,'SELECT ''PII_POLICY3_CORE'',''DAON'',''KEY_DOSID'', TO_DATE(''#BASEDATE'',''yyyy/mm/dd''), B.CUSTID, A.DOSID , EXPECTED_ARC_DEL_DATE FROM COOWNORG.DPRACTEUR A, COTDL.TBL_PIIKEYMAP B WHERE  B.KEY_NAME = ''KEY_ACTID'' AND B.KEYMAP_ID = ''#KEYMAP_ID'' AND B.BASEDATE = TO_DATE(''#BASEDATE'',''yyyy/mm/dd'') AND A.ACTID = B.VAL1','INSERT INTO COTDL.TBL_PIIKEYMAP_TMP(KEYMAP_ID, DB, KEY_NAME, BASEDATE, CUSTID, VAL1, EXPECTED_ARC_DEL_DATE) SELECT ''PII_POLICY3_CORE'',''DAON'',''KEY_DOSID'', TO_DATE(''#BASEDATE'',''yyyy/mm/dd''), B.CUSTID, A.DOSID , EXPECTED_ARC_DEL_DATE FROM COOWNORG.DPRACTEUR A, COTDL.TBL_PIIKEYMAP B WHERE  B.KEY_NAME = ''KEY_ACTID'' AND B.KEYMAP_ID = ''#KEYMAP_ID'' AND B.BASEDATE = TO_DATE(''#BASEDATE'',''yyyy/mm/dd'') AND A.ACTID = B.VAL1','PII_POLICY3_CORE','KEY_DOSID','DOSID','B.KEY_NAME = ''KEY_DOSID'' AND B.KEYMAP_ID = ''#KEYMAP_ID'' AND B.BASEDATE = TO_DATE(''#BASEDATE'',''yyyy/mm/dd'') AND A.#WHERECOL1 = B.VAL1','AUTO',now(),now(),'member_it','member_it');</v>
      </c>
    </row>
    <row r="6" spans="1:21" s="7" customFormat="1" ht="13.5" x14ac:dyDescent="0.3">
      <c r="A6" s="11" t="s">
        <v>134</v>
      </c>
      <c r="B6" s="6" t="s">
        <v>24</v>
      </c>
      <c r="C6" s="6" t="s">
        <v>25</v>
      </c>
      <c r="D6" s="11" t="s">
        <v>136</v>
      </c>
      <c r="E6" s="6" t="s">
        <v>20</v>
      </c>
      <c r="F6" s="6" t="s">
        <v>113</v>
      </c>
      <c r="G6" s="6">
        <v>10</v>
      </c>
      <c r="H6" s="6">
        <f t="shared" si="0"/>
        <v>200</v>
      </c>
      <c r="I6" s="6">
        <v>999</v>
      </c>
      <c r="J6" s="6" t="s">
        <v>19</v>
      </c>
      <c r="K6" s="6" t="s">
        <v>135</v>
      </c>
      <c r="L6" s="6" t="s">
        <v>75</v>
      </c>
      <c r="M6" s="6" t="s">
        <v>81</v>
      </c>
      <c r="N6" s="6"/>
      <c r="O6" s="6" t="s">
        <v>12</v>
      </c>
      <c r="P6" s="6">
        <v>4</v>
      </c>
      <c r="Q6" s="6" t="s">
        <v>79</v>
      </c>
      <c r="R6" s="6" t="str">
        <f>IF(A6="","","INSERT INTO COTDL.TBL_PIIKEYMAP"&amp;IF(AND(COUNTIF(H:H,H6)&gt;1,I6&lt;999),"_TMP","")&amp;"(KEYMAP_ID, DB, KEY_NAME, BASEDATE, CUSTID, VAL1, EXPECTED_ARC_DEL_DATE) ")</f>
        <v xml:space="preserve">INSERT INTO COTDL.TBL_PIIKEYMAP(KEYMAP_ID, DB, KEY_NAME, BASEDATE, CUSTID, VAL1, EXPECTED_ARC_DEL_DATE) </v>
      </c>
      <c r="S6" s="6" t="str">
        <f>"SELECT "&amp;IF(I6=999,"DISTINCT ","")&amp;"''"&amp;D5&amp;"'',''"&amp;K6&amp;"'',''"&amp;E6&amp;"'', TO_DATE(''#BASEDATE'',''yyyy/mm/dd''),"&amp;IF(I6=999," A.CUSTID, A.VAL1"&amp;IF(IFERROR(MID(J5&amp;","&amp;",",FIND(",",J5&amp;","&amp;",",1)+1,FIND(",",J5&amp;","&amp;",",FIND(",",J5&amp;","&amp;",",1)+1)-FIND(",",J5&amp;","&amp;",",1)-1),"")="","",", A.VAL2")&amp;IF(IFERROR(MID(J5&amp;",",FIND(",",J5&amp;",",FIND(",",J5&amp;",",1)+1)+1,FIND(",",J5&amp;",",FIND(",",J5&amp;",",FIND(",",J5&amp;",",1)+1)+1)-FIND(",",J5&amp;",",FIND(",",J5&amp;",",1)+1)-1),"")="","",", A.VAL3")&amp;IF(IFERROR(SUBSTITUTE(MID(J5&amp;",",FIND(",",J5&amp;",",FIND(",",J5&amp;",",FIND(",",J5&amp;",",1)+1)+1)+1,LEN(J5)),",",""),"")="","",", A.VAL4")&amp;""," B.CUSTID, A."&amp;SUBSTITUTE(J6,",",", A."))&amp;" , EXPECTED_ARC_DEL_DATE FROM "&amp;IF(I6=999, "COTDL.TBL_PIIKEYMAP_TMP A",L6&amp;"."&amp;M6&amp;" A, COTDL.TBL_PIIKEYMAP B")&amp;" WHERE" &amp;" "&amp; IF(I6=999,"DB = ''"&amp;K6&amp;"'' AND KEY_NAME = ''"&amp;E6&amp;"'' AND KEYMAP_ID = ''#KEYMAP_ID'' AND BASEDATE =TO_DATE(''#BASEDATE'',''yyyy/mm/dd'')", " "&amp;SUBSTITUTE(VLOOKUP(O6,E:T,16,FALSE),"#WHERECOL1",N6))</f>
        <v>SELECT DISTINCT ''PII_POLICY3_CORE'',''DAON'',''KEY_DOSID'', TO_DATE(''#BASEDATE'',''yyyy/mm/dd''), A.CUSTID, A.VAL1 , EXPECTED_ARC_DEL_DATE FROM COTDL.TBL_PIIKEYMAP_TMP A WHERE DB = ''DAON'' AND KEY_NAME = ''KEY_DOSID'' AND KEYMAP_ID = ''#KEYMAP_ID'' AND BASEDATE =TO_DATE(''#BASEDATE'',''yyyy/mm/dd'')</v>
      </c>
      <c r="T6" s="6" t="str">
        <f t="shared" si="1"/>
        <v>B.KEY_NAME = ''KEY_DOSID'' AND B.KEYMAP_ID = ''#KEYMAP_ID'' AND B.BASEDATE = TO_DATE(''#BASEDATE'',''yyyy/mm/dd'') AND A.#WHERECOL1 = B.VAL1</v>
      </c>
      <c r="U6" s="16" t="str">
        <f t="shared" si="2"/>
        <v>INSERT INTO COTDL.TBL_PIISTEPTABLE VALUES('PII_POLICY3_DAON_CORE_DELETE','1','GEN_KEYMAP','DAON','COTDL','TBL_PIIKEYMAP_TMP',NULL, NULL,'KEYMAP',NULL,NULL,NULL,NULL,'10','200','999',NULL,'계약ID','','','4',NULL,'SELECT DISTINCT ''PII_POLICY3_CORE'',''DAON'',''KEY_DOSID'', TO_DATE(''#BASEDATE'',''yyyy/mm/dd''), A.CUSTID, A.VAL1 , EXPECTED_ARC_DEL_DATE FROM COTDL.TBL_PIIKEYMAP_TMP A WHERE DB = ''DAON'' AND KEY_NAME = ''KEY_DOSID'' AND KEYMAP_ID = ''#KEYMAP_ID'' AND BASEDATE =TO_DATE(''#BASEDATE'',''yyyy/mm/dd'')','INSERT INTO COTDL.TBL_PIIKEYMAP(KEYMAP_ID, DB, KEY_NAME, BASEDATE, CUSTID, VAL1, EXPECTED_ARC_DEL_DATE) SELECT DISTINCT ''PII_POLICY3_CORE'',''DAON'',''KEY_DOSID'', TO_DATE(''#BASEDATE'',''yyyy/mm/dd''), A.CUSTID, A.VAL1 , EXPECTED_ARC_DEL_DATE FROM COTDL.TBL_PIIKEYMAP_TMP A WHERE DB = ''DAON'' AND KEY_NAME = ''KEY_DOSID'' AND KEYMAP_ID = ''#KEYMAP_ID'' AND BASEDATE =TO_DATE(''#BASEDATE'',''yyyy/mm/dd'')','PII_POLICY3_CORE','KEY_DOSID','DOSID','B.KEY_NAME = ''KEY_DOSID'' AND B.KEYMAP_ID = ''#KEYMAP_ID'' AND B.BASEDATE = TO_DATE(''#BASEDATE'',''yyyy/mm/dd'') AND A.#WHERECOL1 = B.VAL1','AUTO',now(),now(),'member_it','member_it');</v>
      </c>
    </row>
    <row r="7" spans="1:21" s="7" customFormat="1" ht="13.5" x14ac:dyDescent="0.3">
      <c r="A7" s="11" t="s">
        <v>134</v>
      </c>
      <c r="B7" s="6" t="s">
        <v>24</v>
      </c>
      <c r="C7" s="6" t="s">
        <v>25</v>
      </c>
      <c r="D7" s="11" t="s">
        <v>136</v>
      </c>
      <c r="E7" s="6" t="s">
        <v>27</v>
      </c>
      <c r="F7" s="6" t="s">
        <v>114</v>
      </c>
      <c r="G7" s="6">
        <v>10</v>
      </c>
      <c r="H7" s="6">
        <f t="shared" si="0"/>
        <v>300</v>
      </c>
      <c r="I7" s="6">
        <v>1</v>
      </c>
      <c r="J7" s="6" t="s">
        <v>28</v>
      </c>
      <c r="K7" s="6" t="s">
        <v>135</v>
      </c>
      <c r="L7" s="6" t="s">
        <v>86</v>
      </c>
      <c r="M7" s="6" t="s">
        <v>82</v>
      </c>
      <c r="N7" s="6" t="s">
        <v>83</v>
      </c>
      <c r="O7" s="6" t="s">
        <v>20</v>
      </c>
      <c r="P7" s="6">
        <v>4</v>
      </c>
      <c r="Q7" s="6" t="s">
        <v>79</v>
      </c>
      <c r="R7" s="6" t="str">
        <f>IF(A7="","","INSERT INTO COTDL.TBL_PIIKEYMAP"&amp;IF(AND(COUNTIF(H:H,H7)&gt;1,I7&lt;999),"_TMP","")&amp;"(KEYMAP_ID, DB, KEY_NAME, BASEDATE, CUSTID, VAL1, EXPECTED_ARC_DEL_DATE) ")</f>
        <v xml:space="preserve">INSERT INTO COTDL.TBL_PIIKEYMAP(KEYMAP_ID, DB, KEY_NAME, BASEDATE, CUSTID, VAL1, EXPECTED_ARC_DEL_DATE) </v>
      </c>
      <c r="S7" s="6" t="str">
        <f>"SELECT "&amp;IF(I7=999,"DISTINCT ","")&amp;"''"&amp;D6&amp;"'',''"&amp;K7&amp;"'',''"&amp;E7&amp;"'', TO_DATE(''#BASEDATE'',''yyyy/mm/dd''),"&amp;IF(I7=999," A.CUSTID, A.VAL1"&amp;IF(IFERROR(MID(J6&amp;","&amp;",",FIND(",",J6&amp;","&amp;",",1)+1,FIND(",",J6&amp;","&amp;",",FIND(",",J6&amp;","&amp;",",1)+1)-FIND(",",J6&amp;","&amp;",",1)-1),"")="","",", A.VAL2")&amp;IF(IFERROR(MID(J6&amp;",",FIND(",",J6&amp;",",FIND(",",J6&amp;",",1)+1)+1,FIND(",",J6&amp;",",FIND(",",J6&amp;",",FIND(",",J6&amp;",",1)+1)+1)-FIND(",",J6&amp;",",FIND(",",J6&amp;",",1)+1)-1),"")="","",", A.VAL3")&amp;IF(IFERROR(SUBSTITUTE(MID(J6&amp;",",FIND(",",J6&amp;",",FIND(",",J6&amp;",",FIND(",",J6&amp;",",1)+1)+1)+1,LEN(J6)),",",""),"")="","",", A.VAL4")&amp;""," B.CUSTID, A."&amp;SUBSTITUTE(J7,",",", A."))&amp;" , EXPECTED_ARC_DEL_DATE FROM "&amp;IF(I7=999, "COTDL.TBL_PIIKEYMAP_TMP A",L7&amp;"."&amp;M7&amp;" A, COTDL.TBL_PIIKEYMAP B")&amp;" WHERE" &amp;" "&amp; IF(I7=999,"DB = ''"&amp;K7&amp;"'' AND KEY_NAME = ''"&amp;E7&amp;"'' AND KEYMAP_ID = ''#KEYMAP_ID'' AND BASEDATE =TO_DATE(''#BASEDATE'',''yyyy/mm/dd'')", " "&amp;SUBSTITUTE(VLOOKUP(O7,E:T,16,FALSE),"#WHERECOL1",N7))</f>
        <v>SELECT ''PII_POLICY3_CORE'',''DAON'',''KEY_ITRID'', TO_DATE(''#BASEDATE'',''yyyy/mm/dd''), B.CUSTID, A.ITRID , EXPECTED_ARC_DEL_DATE FROM COOWNSER.LKDOSRUBITRRUB A, COTDL.TBL_PIIKEYMAP B WHERE  B.KEY_NAME = ''KEY_DOSID'' AND B.KEYMAP_ID = ''#KEYMAP_ID'' AND B.BASEDATE = TO_DATE(''#BASEDATE'',''yyyy/mm/dd'') AND A.DOSID = B.VAL1</v>
      </c>
      <c r="T7" s="6" t="str">
        <f t="shared" si="1"/>
        <v>B.KEY_NAME = ''KEY_ITRID'' AND B.KEYMAP_ID = ''#KEYMAP_ID'' AND B.BASEDATE = TO_DATE(''#BASEDATE'',''yyyy/mm/dd'') AND A.#WHERECOL1 = B.VAL1</v>
      </c>
      <c r="U7" s="16" t="str">
        <f t="shared" si="2"/>
        <v>INSERT INTO COTDL.TBL_PIISTEPTABLE VALUES('PII_POLICY3_DAON_CORE_DELETE','1','GEN_KEYMAP','DAON','COOWNSER','LKDOSRUBITRRUB',NULL, NULL,'KEYMAP',NULL,NULL,NULL,NULL,'10','300','1',NULL,'자산번호','DOSID','KEY_DOSID','4',NULL,'SELECT ''PII_POLICY3_CORE'',''DAON'',''KEY_ITRID'', TO_DATE(''#BASEDATE'',''yyyy/mm/dd''), B.CUSTID, A.ITRID , EXPECTED_ARC_DEL_DATE FROM COOWNSER.LKDOSRUBITRRUB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''PII_POLICY3_CORE'',''DAON'',''KEY_ITRID'', TO_DATE(''#BASEDATE'',''yyyy/mm/dd''), B.CUSTID, A.ITRID , EXPECTED_ARC_DEL_DATE FROM COOWNSER.LKDOSRUBITRRUB A, COTDL.TBL_PIIKEYMAP B WHERE  B.KEY_NAME = ''KEY_DOSID'' AND B.KEYMAP_ID = ''#KEYMAP_ID'' AND B.BASEDATE = TO_DATE(''#BASEDATE'',''yyyy/mm/dd'') AND A.DOSID = B.VAL1','PII_POLICY3_CORE','KEY_ITRID','ITRID','B.KEY_NAME = ''KEY_ITRID'' AND B.KEYMAP_ID = ''#KEYMAP_ID'' AND B.BASEDATE = TO_DATE(''#BASEDATE'',''yyyy/mm/dd'') AND A.#WHERECOL1 = B.VAL1','AUTO',now(),now(),'member_it','member_it');</v>
      </c>
    </row>
    <row r="8" spans="1:21" s="7" customFormat="1" ht="13.5" x14ac:dyDescent="0.3">
      <c r="A8" s="11" t="s">
        <v>134</v>
      </c>
      <c r="B8" s="6" t="s">
        <v>24</v>
      </c>
      <c r="C8" s="6" t="s">
        <v>25</v>
      </c>
      <c r="D8" s="11" t="s">
        <v>136</v>
      </c>
      <c r="E8" s="6" t="s">
        <v>29</v>
      </c>
      <c r="F8" s="6" t="s">
        <v>115</v>
      </c>
      <c r="G8" s="6">
        <v>10</v>
      </c>
      <c r="H8" s="6">
        <f t="shared" si="0"/>
        <v>400</v>
      </c>
      <c r="I8" s="6">
        <v>1</v>
      </c>
      <c r="J8" s="6" t="s">
        <v>30</v>
      </c>
      <c r="K8" s="6" t="s">
        <v>135</v>
      </c>
      <c r="L8" s="6" t="s">
        <v>99</v>
      </c>
      <c r="M8" s="6" t="s">
        <v>84</v>
      </c>
      <c r="N8" s="6" t="s">
        <v>83</v>
      </c>
      <c r="O8" s="6" t="s">
        <v>20</v>
      </c>
      <c r="P8" s="6">
        <v>4</v>
      </c>
      <c r="Q8" s="6" t="s">
        <v>79</v>
      </c>
      <c r="R8" s="6" t="str">
        <f>IF(A8="","","INSERT INTO COTDL.TBL_PIIKEYMAP"&amp;IF(AND(COUNTIF(H:H,H8)&gt;1,I8&lt;999),"_TMP","")&amp;"(KEYMAP_ID, DB, KEY_NAME, BASEDATE, CUSTID, VAL1, EXPECTED_ARC_DEL_DATE) ")</f>
        <v xml:space="preserve">INSERT INTO COTDL.TBL_PIIKEYMAP(KEYMAP_ID, DB, KEY_NAME, BASEDATE, CUSTID, VAL1, EXPECTED_ARC_DEL_DATE) </v>
      </c>
      <c r="S8" s="6" t="str">
        <f>"SELECT "&amp;IF(I8=999,"DISTINCT ","")&amp;"''"&amp;D7&amp;"'',''"&amp;K8&amp;"'',''"&amp;E8&amp;"'', TO_DATE(''#BASEDATE'',''yyyy/mm/dd''),"&amp;IF(I8=999," A.CUSTID, A.VAL1"&amp;IF(IFERROR(MID(J7&amp;","&amp;",",FIND(",",J7&amp;","&amp;",",1)+1,FIND(",",J7&amp;","&amp;",",FIND(",",J7&amp;","&amp;",",1)+1)-FIND(",",J7&amp;","&amp;",",1)-1),"")="","",", A.VAL2")&amp;IF(IFERROR(MID(J7&amp;",",FIND(",",J7&amp;",",FIND(",",J7&amp;",",1)+1)+1,FIND(",",J7&amp;",",FIND(",",J7&amp;",",FIND(",",J7&amp;",",1)+1)+1)-FIND(",",J7&amp;",",FIND(",",J7&amp;",",1)+1)-1),"")="","",", A.VAL3")&amp;IF(IFERROR(SUBSTITUTE(MID(J7&amp;",",FIND(",",J7&amp;",",FIND(",",J7&amp;",",FIND(",",J7&amp;",",1)+1)+1)+1,LEN(J7)),",",""),"")="","",", A.VAL4")&amp;""," B.CUSTID, A."&amp;SUBSTITUTE(J8,",",", A."))&amp;" , EXPECTED_ARC_DEL_DATE FROM "&amp;IF(I8=999, "COTDL.TBL_PIIKEYMAP_TMP A",L8&amp;"."&amp;M8&amp;" A, COTDL.TBL_PIIKEYMAP B")&amp;" WHERE" &amp;" "&amp; IF(I8=999,"DB = ''"&amp;K8&amp;"'' AND KEY_NAME = ''"&amp;E8&amp;"'' AND KEYMAP_ID = ''#KEYMAP_ID'' AND BASEDATE =TO_DATE(''#BASEDATE'',''yyyy/mm/dd'')", " "&amp;SUBSTITUTE(VLOOKUP(O8,E:T,16,FALSE),"#WHERECOL1",N8))</f>
        <v>SELECT ''PII_POLICY3_CORE'',''DAON'',''KEY_PFIID'', TO_DATE(''#BASEDATE'',''yyyy/mm/dd''), B.CUSTID, A.PFIID , EXPECTED_ARC_DEL_DATE FROM COOWNORG.DPRPROPFINANCE A, COTDL.TBL_PIIKEYMAP B WHERE  B.KEY_NAME = ''KEY_DOSID'' AND B.KEYMAP_ID = ''#KEYMAP_ID'' AND B.BASEDATE = TO_DATE(''#BASEDATE'',''yyyy/mm/dd'') AND A.DOSID = B.VAL1</v>
      </c>
      <c r="T8" s="6" t="str">
        <f t="shared" si="1"/>
        <v>B.KEY_NAME = ''KEY_PFIID'' AND B.KEYMAP_ID = ''#KEYMAP_ID'' AND B.BASEDATE = TO_DATE(''#BASEDATE'',''yyyy/mm/dd'') AND A.#WHERECOL1 = B.VAL1</v>
      </c>
      <c r="U8" s="16" t="str">
        <f t="shared" si="2"/>
        <v>INSERT INTO COTDL.TBL_PIISTEPTABLE VALUES('PII_POLICY3_DAON_CORE_DELETE','1','GEN_KEYMAP','DAON','COOWNORG','DPRPROPFINANCE',NULL, NULL,'KEYMAP',NULL,NULL,NULL,NULL,'10','400','1',NULL,'견적번호','DOSID','KEY_DOSID','4',NULL,'SELECT ''PII_POLICY3_CORE'',''DAON'',''KEY_PFIID'', TO_DATE(''#BASEDATE'',''yyyy/mm/dd''), B.CUSTID, A.PFIID , EXPECTED_ARC_DEL_DATE FROM COOWNORG.DPRPROPFINANCE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''PII_POLICY3_CORE'',''DAON'',''KEY_PFIID'', TO_DATE(''#BASEDATE'',''yyyy/mm/dd''), B.CUSTID, A.PFIID , EXPECTED_ARC_DEL_DATE FROM COOWNORG.DPRPROPFINANCE A, COTDL.TBL_PIIKEYMAP B WHERE  B.KEY_NAME = ''KEY_DOSID'' AND B.KEYMAP_ID = ''#KEYMAP_ID'' AND B.BASEDATE = TO_DATE(''#BASEDATE'',''yyyy/mm/dd'') AND A.DOSID = B.VAL1','PII_POLICY3_CORE','KEY_PFIID','PFIID','B.KEY_NAME = ''KEY_PFIID'' AND B.KEYMAP_ID = ''#KEYMAP_ID'' AND B.BASEDATE = TO_DATE(''#BASEDATE'',''yyyy/mm/dd'') AND A.#WHERECOL1 = B.VAL1','AUTO',now(),now(),'member_it','member_it');</v>
      </c>
    </row>
    <row r="9" spans="1:21" s="7" customFormat="1" ht="13.5" x14ac:dyDescent="0.3">
      <c r="A9" s="11" t="s">
        <v>134</v>
      </c>
      <c r="B9" s="6" t="s">
        <v>24</v>
      </c>
      <c r="C9" s="6" t="s">
        <v>25</v>
      </c>
      <c r="D9" s="11" t="s">
        <v>136</v>
      </c>
      <c r="E9" s="6" t="s">
        <v>32</v>
      </c>
      <c r="F9" s="6" t="s">
        <v>107</v>
      </c>
      <c r="G9" s="6">
        <v>10</v>
      </c>
      <c r="H9" s="6">
        <f t="shared" si="0"/>
        <v>500</v>
      </c>
      <c r="I9" s="6">
        <v>1</v>
      </c>
      <c r="J9" s="6" t="s">
        <v>33</v>
      </c>
      <c r="K9" s="6" t="s">
        <v>135</v>
      </c>
      <c r="L9" s="6" t="s">
        <v>86</v>
      </c>
      <c r="M9" s="6" t="s">
        <v>116</v>
      </c>
      <c r="N9" s="6" t="s">
        <v>17</v>
      </c>
      <c r="O9" s="6" t="s">
        <v>18</v>
      </c>
      <c r="P9" s="6">
        <v>4</v>
      </c>
      <c r="Q9" s="6" t="s">
        <v>79</v>
      </c>
      <c r="R9" s="6" t="str">
        <f>IF(A9="","","INSERT INTO COTDL.TBL_PIIKEYMAP"&amp;IF(AND(COUNTIF(H:H,H9)&gt;1,I9&lt;999),"_TMP","")&amp;"(KEYMAP_ID, DB, KEY_NAME, BASEDATE, CUSTID, VAL1, EXPECTED_ARC_DEL_DATE) ")</f>
        <v xml:space="preserve">INSERT INTO COTDL.TBL_PIIKEYMAP(KEYMAP_ID, DB, KEY_NAME, BASEDATE, CUSTID, VAL1, EXPECTED_ARC_DEL_DATE) </v>
      </c>
      <c r="S9" s="6" t="str">
        <f>"SELECT "&amp;IF(I9=999,"DISTINCT ","")&amp;"''"&amp;D8&amp;"'',''"&amp;K9&amp;"'',''"&amp;E9&amp;"'', TO_DATE(''#BASEDATE'',''yyyy/mm/dd''),"&amp;IF(I9=999," A.CUSTID, A.VAL1"&amp;IF(IFERROR(MID(J8&amp;","&amp;",",FIND(",",J8&amp;","&amp;",",1)+1,FIND(",",J8&amp;","&amp;",",FIND(",",J8&amp;","&amp;",",1)+1)-FIND(",",J8&amp;","&amp;",",1)-1),"")="","",", A.VAL2")&amp;IF(IFERROR(MID(J8&amp;",",FIND(",",J8&amp;",",FIND(",",J8&amp;",",1)+1)+1,FIND(",",J8&amp;",",FIND(",",J8&amp;",",FIND(",",J8&amp;",",1)+1)+1)-FIND(",",J8&amp;",",FIND(",",J8&amp;",",1)+1)-1),"")="","",", A.VAL3")&amp;IF(IFERROR(SUBSTITUTE(MID(J8&amp;",",FIND(",",J8&amp;",",FIND(",",J8&amp;",",FIND(",",J8&amp;",",1)+1)+1)+1,LEN(J8)),",",""),"")="","",", A.VAL4")&amp;""," B.CUSTID, A."&amp;SUBSTITUTE(J9,",",", A."))&amp;" , EXPECTED_ARC_DEL_DATE FROM "&amp;IF(I9=999, "COTDL.TBL_PIIKEYMAP_TMP A",L9&amp;"."&amp;M9&amp;" A, COTDL.TBL_PIIKEYMAP B")&amp;" WHERE" &amp;" "&amp; IF(I9=999,"DB = ''"&amp;K9&amp;"'' AND KEY_NAME = ''"&amp;E9&amp;"'' AND KEYMAP_ID = ''#KEYMAP_ID'' AND BASEDATE =TO_DATE(''#BASEDATE'',''yyyy/mm/dd'')", " "&amp;SUBSTITUTE(VLOOKUP(O9,E:T,16,FALSE),"#WHERECOL1",N9))</f>
        <v>SELECT ''PII_POLICY3_CORE'',''DAON'',''KEY_RIBID'', TO_DATE(''#BASEDATE'',''yyyy/mm/dd''), B.CUSTID, A.RIBID , EXPECTED_ARC_DEL_DATE FROM COOWNSER.ACTRIB A, COTDL.TBL_PIIKEYMAP B WHERE  B.KEY_NAME = ''KEY_ACTID'' AND B.KEYMAP_ID = ''#KEYMAP_ID'' AND B.BASEDATE = TO_DATE(''#BASEDATE'',''yyyy/mm/dd'') AND A.ACTID = B.VAL1</v>
      </c>
      <c r="T9" s="6" t="str">
        <f t="shared" si="1"/>
        <v>B.KEY_NAME = ''KEY_RIBID'' AND B.KEYMAP_ID = ''#KEYMAP_ID'' AND B.BASEDATE = TO_DATE(''#BASEDATE'',''yyyy/mm/dd'') AND A.#WHERECOL1 = B.VAL1</v>
      </c>
      <c r="U9" s="16" t="str">
        <f t="shared" si="2"/>
        <v>INSERT INTO COTDL.TBL_PIISTEPTABLE VALUES('PII_POLICY3_DAON_CORE_DELETE','1','GEN_KEYMAP','DAON','COOWNSER','ACTRIB',NULL, NULL,'KEYMAP',NULL,NULL,NULL,NULL,'10','500','1',NULL,'재무번호','ACTID','KEY_ACTID','4',NULL,'SELECT ''PII_POLICY3_CORE'',''DAON'',''KEY_RIBID'', TO_DATE(''#BASEDATE'',''yyyy/mm/dd''), B.CUSTID, A.RIBID , EXPECTED_ARC_DEL_DATE FROM COOWNSER.ACTRIB A, COTDL.TBL_PIIKEYMAP B WHERE  B.KEY_NAME = ''KEY_ACTID'' AND B.KEYMAP_ID = ''#KEYMAP_ID'' AND B.BASEDATE = TO_DATE(''#BASEDATE'',''yyyy/mm/dd'') AND A.ACTID = B.VAL1','INSERT INTO COTDL.TBL_PIIKEYMAP(KEYMAP_ID, DB, KEY_NAME, BASEDATE, CUSTID, VAL1, EXPECTED_ARC_DEL_DATE) SELECT ''PII_POLICY3_CORE'',''DAON'',''KEY_RIBID'', TO_DATE(''#BASEDATE'',''yyyy/mm/dd''), B.CUSTID, A.RIBID , EXPECTED_ARC_DEL_DATE FROM COOWNSER.ACTRIB A, COTDL.TBL_PIIKEYMAP B WHERE  B.KEY_NAME = ''KEY_ACTID'' AND B.KEYMAP_ID = ''#KEYMAP_ID'' AND B.BASEDATE = TO_DATE(''#BASEDATE'',''yyyy/mm/dd'') AND A.ACTID = B.VAL1','PII_POLICY3_CORE','KEY_RIBID','RIBID','B.KEY_NAME = ''KEY_RIBID'' AND B.KEYMAP_ID = ''#KEYMAP_ID'' AND B.BASEDATE = TO_DATE(''#BASEDATE'',''yyyy/mm/dd'') AND A.#WHERECOL1 = B.VAL1','AUTO',now(),now(),'member_it','member_it');</v>
      </c>
    </row>
    <row r="10" spans="1:21" s="7" customFormat="1" ht="13.5" x14ac:dyDescent="0.3">
      <c r="A10" s="11" t="s">
        <v>134</v>
      </c>
      <c r="B10" s="6" t="s">
        <v>24</v>
      </c>
      <c r="C10" s="6" t="s">
        <v>25</v>
      </c>
      <c r="D10" s="11" t="s">
        <v>136</v>
      </c>
      <c r="E10" s="6" t="s">
        <v>34</v>
      </c>
      <c r="F10" s="6" t="s">
        <v>117</v>
      </c>
      <c r="G10" s="6">
        <v>10</v>
      </c>
      <c r="H10" s="6">
        <f t="shared" si="0"/>
        <v>600</v>
      </c>
      <c r="I10" s="6">
        <v>1</v>
      </c>
      <c r="J10" s="6" t="s">
        <v>35</v>
      </c>
      <c r="K10" s="6" t="s">
        <v>135</v>
      </c>
      <c r="L10" s="6" t="s">
        <v>86</v>
      </c>
      <c r="M10" s="6" t="s">
        <v>118</v>
      </c>
      <c r="N10" s="6" t="s">
        <v>19</v>
      </c>
      <c r="O10" s="6" t="s">
        <v>20</v>
      </c>
      <c r="P10" s="6">
        <v>4</v>
      </c>
      <c r="Q10" s="6" t="s">
        <v>79</v>
      </c>
      <c r="R10" s="6" t="str">
        <f>IF(A10="","","INSERT INTO COTDL.TBL_PIIKEYMAP"&amp;IF(AND(COUNTIF(H:H,H10)&gt;1,I10&lt;999),"_TMP","")&amp;"(KEYMAP_ID, DB, KEY_NAME, BASEDATE, CUSTID, VAL1, EXPECTED_ARC_DEL_DATE) ")</f>
        <v xml:space="preserve">INSERT INTO COTDL.TBL_PIIKEYMAP(KEYMAP_ID, DB, KEY_NAME, BASEDATE, CUSTID, VAL1, EXPECTED_ARC_DEL_DATE) </v>
      </c>
      <c r="S10" s="6" t="str">
        <f>"SELECT "&amp;IF(I10=999,"DISTINCT ","")&amp;"''"&amp;D9&amp;"'',''"&amp;K10&amp;"'',''"&amp;E10&amp;"'', TO_DATE(''#BASEDATE'',''yyyy/mm/dd''),"&amp;IF(I10=999," A.CUSTID, A.VAL1"&amp;IF(IFERROR(MID(J9&amp;","&amp;",",FIND(",",J9&amp;","&amp;",",1)+1,FIND(",",J9&amp;","&amp;",",FIND(",",J9&amp;","&amp;",",1)+1)-FIND(",",J9&amp;","&amp;",",1)-1),"")="","",", A.VAL2")&amp;IF(IFERROR(MID(J9&amp;",",FIND(",",J9&amp;",",FIND(",",J9&amp;",",1)+1)+1,FIND(",",J9&amp;",",FIND(",",J9&amp;",",FIND(",",J9&amp;",",1)+1)+1)-FIND(",",J9&amp;",",FIND(",",J9&amp;",",1)+1)-1),"")="","",", A.VAL3")&amp;IF(IFERROR(SUBSTITUTE(MID(J9&amp;",",FIND(",",J9&amp;",",FIND(",",J9&amp;",",FIND(",",J9&amp;",",1)+1)+1)+1,LEN(J9)),",",""),"")="","",", A.VAL4")&amp;""," B.CUSTID, A."&amp;SUBSTITUTE(J10,",",", A."))&amp;" , EXPECTED_ARC_DEL_DATE FROM "&amp;IF(I10=999, "COTDL.TBL_PIIKEYMAP_TMP A",L10&amp;"."&amp;M10&amp;" A, COTDL.TBL_PIIKEYMAP B")&amp;" WHERE" &amp;" "&amp; IF(I10=999,"DB = ''"&amp;K10&amp;"'' AND KEY_NAME = ''"&amp;E10&amp;"'' AND KEYMAP_ID = ''#KEYMAP_ID'' AND BASEDATE =TO_DATE(''#BASEDATE'',''yyyy/mm/dd'')", " "&amp;SUBSTITUTE(VLOOKUP(O10,E:T,16,FALSE),"#WHERECOL1",N10))</f>
        <v>SELECT ''PII_POLICY3_CORE'',''DAON'',''KEY_ASSID'', TO_DATE(''#BASEDATE'',''yyyy/mm/dd''), B.CUSTID, A.ASSID , EXPECTED_ARC_DEL_DATE FROM COOWNSER.ASSDOSSIER A, COTDL.TBL_PIIKEYMAP B WHERE  B.KEY_NAME = ''KEY_DOSID'' AND B.KEYMAP_ID = ''#KEYMAP_ID'' AND B.BASEDATE = TO_DATE(''#BASEDATE'',''yyyy/mm/dd'') AND A.DOSID = B.VAL1</v>
      </c>
      <c r="T10" s="6" t="str">
        <f t="shared" si="1"/>
        <v>B.KEY_NAME = ''KEY_ASSID'' AND B.KEYMAP_ID = ''#KEYMAP_ID'' AND B.BASEDATE = TO_DATE(''#BASEDATE'',''yyyy/mm/dd'') AND A.#WHERECOL1 = B.VAL1</v>
      </c>
      <c r="U10" s="16" t="str">
        <f t="shared" si="2"/>
        <v>INSERT INTO COTDL.TBL_PIISTEPTABLE VALUES('PII_POLICY3_DAON_CORE_DELETE','1','GEN_KEYMAP','DAON','COOWNSER','ASSDOSSIER',NULL, NULL,'KEYMAP',NULL,NULL,NULL,NULL,'10','600','1',NULL,'보험번호','DOSID','KEY_DOSID','4',NULL,'SELECT ''PII_POLICY3_CORE'',''DAON'',''KEY_ASSID'', TO_DATE(''#BASEDATE'',''yyyy/mm/dd''), B.CUSTID, A.ASSID , EXPECTED_ARC_DEL_DATE FROM COOWNSER.ASSDOSSIER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''PII_POLICY3_CORE'',''DAON'',''KEY_ASSID'', TO_DATE(''#BASEDATE'',''yyyy/mm/dd''), B.CUSTID, A.ASSID , EXPECTED_ARC_DEL_DATE FROM COOWNSER.ASSDOSSIER A, COTDL.TBL_PIIKEYMAP B WHERE  B.KEY_NAME = ''KEY_DOSID'' AND B.KEYMAP_ID = ''#KEYMAP_ID'' AND B.BASEDATE = TO_DATE(''#BASEDATE'',''yyyy/mm/dd'') AND A.DOSID = B.VAL1','PII_POLICY3_CORE','KEY_ASSID','ASSID','B.KEY_NAME = ''KEY_ASSID'' AND B.KEYMAP_ID = ''#KEYMAP_ID'' AND B.BASEDATE = TO_DATE(''#BASEDATE'',''yyyy/mm/dd'') AND A.#WHERECOL1 = B.VAL1','AUTO',now(),now(),'member_it','member_it');</v>
      </c>
    </row>
    <row r="11" spans="1:21" s="7" customFormat="1" ht="13.5" x14ac:dyDescent="0.3">
      <c r="A11" s="11" t="s">
        <v>134</v>
      </c>
      <c r="B11" s="6" t="s">
        <v>24</v>
      </c>
      <c r="C11" s="6" t="s">
        <v>25</v>
      </c>
      <c r="D11" s="11" t="s">
        <v>136</v>
      </c>
      <c r="E11" s="6" t="s">
        <v>36</v>
      </c>
      <c r="F11" s="6" t="s">
        <v>119</v>
      </c>
      <c r="G11" s="6">
        <v>10</v>
      </c>
      <c r="H11" s="6">
        <f t="shared" si="0"/>
        <v>700</v>
      </c>
      <c r="I11" s="6">
        <v>1</v>
      </c>
      <c r="J11" s="6" t="s">
        <v>37</v>
      </c>
      <c r="K11" s="6" t="s">
        <v>135</v>
      </c>
      <c r="L11" s="6" t="s">
        <v>86</v>
      </c>
      <c r="M11" s="6" t="s">
        <v>85</v>
      </c>
      <c r="N11" s="6" t="s">
        <v>19</v>
      </c>
      <c r="O11" s="6" t="s">
        <v>20</v>
      </c>
      <c r="P11" s="6">
        <v>4</v>
      </c>
      <c r="Q11" s="6" t="s">
        <v>79</v>
      </c>
      <c r="R11" s="6" t="str">
        <f>IF(A11="","","INSERT INTO COTDL.TBL_PIIKEYMAP"&amp;IF(AND(COUNTIF(H:H,H11)&gt;1,I11&lt;999),"_TMP","")&amp;"(KEYMAP_ID, DB, KEY_NAME, BASEDATE, CUSTID, VAL1, EXPECTED_ARC_DEL_DATE) ")</f>
        <v xml:space="preserve">INSERT INTO COTDL.TBL_PIIKEYMAP(KEYMAP_ID, DB, KEY_NAME, BASEDATE, CUSTID, VAL1, EXPECTED_ARC_DEL_DATE) </v>
      </c>
      <c r="S11" s="6" t="str">
        <f>"SELECT "&amp;IF(I11=999,"DISTINCT ","")&amp;"''"&amp;D10&amp;"'',''"&amp;K11&amp;"'',''"&amp;E11&amp;"'', TO_DATE(''#BASEDATE'',''yyyy/mm/dd''),"&amp;IF(I11=999," A.CUSTID, A.VAL1"&amp;IF(IFERROR(MID(J10&amp;","&amp;",",FIND(",",J10&amp;","&amp;",",1)+1,FIND(",",J10&amp;","&amp;",",FIND(",",J10&amp;","&amp;",",1)+1)-FIND(",",J10&amp;","&amp;",",1)-1),"")="","",", A.VAL2")&amp;IF(IFERROR(MID(J10&amp;",",FIND(",",J10&amp;",",FIND(",",J10&amp;",",1)+1)+1,FIND(",",J10&amp;",",FIND(",",J10&amp;",",FIND(",",J10&amp;",",1)+1)+1)-FIND(",",J10&amp;",",FIND(",",J10&amp;",",1)+1)-1),"")="","",", A.VAL3")&amp;IF(IFERROR(SUBSTITUTE(MID(J10&amp;",",FIND(",",J10&amp;",",FIND(",",J10&amp;",",FIND(",",J10&amp;",",1)+1)+1)+1,LEN(J10)),",",""),"")="","",", A.VAL4")&amp;""," B.CUSTID, A."&amp;SUBSTITUTE(J11,",",", A."))&amp;" , EXPECTED_ARC_DEL_DATE FROM "&amp;IF(I11=999, "COTDL.TBL_PIIKEYMAP_TMP A",L11&amp;"."&amp;M11&amp;" A, COTDL.TBL_PIIKEYMAP B")&amp;" WHERE" &amp;" "&amp; IF(I11=999,"DB = ''"&amp;K11&amp;"'' AND KEY_NAME = ''"&amp;E11&amp;"'' AND KEYMAP_ID = ''#KEYMAP_ID'' AND BASEDATE =TO_DATE(''#BASEDATE'',''yyyy/mm/dd'')", " "&amp;SUBSTITUTE(VLOOKUP(O11,E:T,16,FALSE),"#WHERECOL1",N11))</f>
        <v>SELECT ''PII_POLICY3_CORE'',''DAON'',''KEY_BIMID'', TO_DATE(''#BASEDATE'',''yyyy/mm/dd''), B.CUSTID, A.BIMID , EXPECTED_ARC_DEL_DATE FROM COOWNSER.DOSBIM A, COTDL.TBL_PIIKEYMAP B WHERE  B.KEY_NAME = ''KEY_DOSID'' AND B.KEYMAP_ID = ''#KEYMAP_ID'' AND B.BASEDATE = TO_DATE(''#BASEDATE'',''yyyy/mm/dd'') AND A.DOSID = B.VAL1</v>
      </c>
      <c r="T11" s="6" t="str">
        <f t="shared" si="1"/>
        <v>B.KEY_NAME = ''KEY_BIMID'' AND B.KEYMAP_ID = ''#KEYMAP_ID'' AND B.BASEDATE = TO_DATE(''#BASEDATE'',''yyyy/mm/dd'') AND A.#WHERECOL1 = B.VAL1</v>
      </c>
      <c r="U11" s="16" t="str">
        <f t="shared" si="2"/>
        <v>INSERT INTO COTDL.TBL_PIISTEPTABLE VALUES('PII_POLICY3_DAON_CORE_DELETE','1','GEN_KEYMAP','DAON','COOWNSER','DOSBIM',NULL, NULL,'KEYMAP',NULL,NULL,NULL,NULL,'10','700','1',NULL,'부동자산번호','DOSID','KEY_DOSID','4',NULL,'SELECT ''PII_POLICY3_CORE'',''DAON'',''KEY_BIMID'', TO_DATE(''#BASEDATE'',''yyyy/mm/dd''), B.CUSTID, A.BIMID , EXPECTED_ARC_DEL_DATE FROM COOWNSER.DOSBIM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''PII_POLICY3_CORE'',''DAON'',''KEY_BIMID'', TO_DATE(''#BASEDATE'',''yyyy/mm/dd''), B.CUSTID, A.BIMID , EXPECTED_ARC_DEL_DATE FROM COOWNSER.DOSBIM A, COTDL.TBL_PIIKEYMAP B WHERE  B.KEY_NAME = ''KEY_DOSID'' AND B.KEYMAP_ID = ''#KEYMAP_ID'' AND B.BASEDATE = TO_DATE(''#BASEDATE'',''yyyy/mm/dd'') AND A.DOSID = B.VAL1','PII_POLICY3_CORE','KEY_BIMID','BIMID','B.KEY_NAME = ''KEY_BIMID'' AND B.KEYMAP_ID = ''#KEYMAP_ID'' AND B.BASEDATE = TO_DATE(''#BASEDATE'',''yyyy/mm/dd'') AND A.#WHERECOL1 = B.VAL1','AUTO',now(),now(),'member_it','member_it');</v>
      </c>
    </row>
    <row r="12" spans="1:21" s="7" customFormat="1" ht="13.5" x14ac:dyDescent="0.3">
      <c r="A12" s="11" t="s">
        <v>134</v>
      </c>
      <c r="B12" s="6" t="s">
        <v>24</v>
      </c>
      <c r="C12" s="6" t="s">
        <v>25</v>
      </c>
      <c r="D12" s="11" t="s">
        <v>136</v>
      </c>
      <c r="E12" s="6" t="s">
        <v>11</v>
      </c>
      <c r="F12" s="6" t="s">
        <v>120</v>
      </c>
      <c r="G12" s="6">
        <v>10</v>
      </c>
      <c r="H12" s="6">
        <f t="shared" si="0"/>
        <v>800</v>
      </c>
      <c r="I12" s="6">
        <v>1</v>
      </c>
      <c r="J12" s="6" t="s">
        <v>10</v>
      </c>
      <c r="K12" s="6" t="s">
        <v>135</v>
      </c>
      <c r="L12" s="6" t="s">
        <v>86</v>
      </c>
      <c r="M12" s="6" t="s">
        <v>121</v>
      </c>
      <c r="N12" s="6" t="s">
        <v>38</v>
      </c>
      <c r="O12" s="6" t="s">
        <v>20</v>
      </c>
      <c r="P12" s="6">
        <v>4</v>
      </c>
      <c r="Q12" s="6" t="s">
        <v>79</v>
      </c>
      <c r="R12" s="6" t="str">
        <f>IF(A12="","","INSERT INTO COTDL.TBL_PIIKEYMAP"&amp;IF(AND(COUNTIF(H:H,H12)&gt;1,I12&lt;999),"_TMP","")&amp;"(KEYMAP_ID, DB, KEY_NAME, BASEDATE, CUSTID, VAL1, EXPECTED_ARC_DEL_DATE) ")</f>
        <v xml:space="preserve">INSERT INTO COTDL.TBL_PIIKEYMAP(KEYMAP_ID, DB, KEY_NAME, BASEDATE, CUSTID, VAL1, EXPECTED_ARC_DEL_DATE) </v>
      </c>
      <c r="S12" s="6" t="str">
        <f>"SELECT "&amp;IF(I12=999,"DISTINCT ","")&amp;"''"&amp;D11&amp;"'',''"&amp;K12&amp;"'',''"&amp;E12&amp;"'', TO_DATE(''#BASEDATE'',''yyyy/mm/dd''),"&amp;IF(I12=999," A.CUSTID, A.VAL1"&amp;IF(IFERROR(MID(J11&amp;","&amp;",",FIND(",",J11&amp;","&amp;",",1)+1,FIND(",",J11&amp;","&amp;",",FIND(",",J11&amp;","&amp;",",1)+1)-FIND(",",J11&amp;","&amp;",",1)-1),"")="","",", A.VAL2")&amp;IF(IFERROR(MID(J11&amp;",",FIND(",",J11&amp;",",FIND(",",J11&amp;",",1)+1)+1,FIND(",",J11&amp;",",FIND(",",J11&amp;",",FIND(",",J11&amp;",",1)+1)+1)-FIND(",",J11&amp;",",FIND(",",J11&amp;",",1)+1)-1),"")="","",", A.VAL3")&amp;IF(IFERROR(SUBSTITUTE(MID(J11&amp;",",FIND(",",J11&amp;",",FIND(",",J11&amp;",",FIND(",",J11&amp;",",1)+1)+1)+1,LEN(J11)),",",""),"")="","",", A.VAL4")&amp;""," B.CUSTID, A."&amp;SUBSTITUTE(J12,",",", A."))&amp;" , EXPECTED_ARC_DEL_DATE FROM "&amp;IF(I12=999, "COTDL.TBL_PIIKEYMAP_TMP A",L12&amp;"."&amp;M12&amp;" A, COTDL.TBL_PIIKEYMAP B")&amp;" WHERE" &amp;" "&amp; IF(I12=999,"DB = ''"&amp;K12&amp;"'' AND KEY_NAME = ''"&amp;E12&amp;"'' AND KEYMAP_ID = ''#KEYMAP_ID'' AND BASEDATE =TO_DATE(''#BASEDATE'',''yyyy/mm/dd'')", " "&amp;SUBSTITUTE(VLOOKUP(O12,E:T,16,FALSE),"#WHERECOL1",N12))</f>
        <v>SELECT ''PII_POLICY3_CORE'',''DAON'',''KEY_FACID'', TO_DATE(''#BASEDATE'',''yyyy/mm/dd''), B.CUSTID, A.FACID , EXPECTED_ARC_DEL_DATE FROM COOWNSER.FACLIGNE A, COTDL.TBL_PIIKEYMAP B WHERE  B.KEY_NAME = ''KEY_DOSID'' AND B.KEYMAP_ID = ''#KEYMAP_ID'' AND B.BASEDATE = TO_DATE(''#BASEDATE'',''yyyy/mm/dd'') AND A.FLIDOSID = B.VAL1</v>
      </c>
      <c r="T12" s="6" t="str">
        <f t="shared" si="1"/>
        <v>B.KEY_NAME = ''KEY_FACID'' AND B.KEYMAP_ID = ''#KEYMAP_ID'' AND B.BASEDATE = TO_DATE(''#BASEDATE'',''yyyy/mm/dd'') AND A.#WHERECOL1 = B.VAL1</v>
      </c>
      <c r="U12" s="16" t="str">
        <f t="shared" si="2"/>
        <v>INSERT INTO COTDL.TBL_PIISTEPTABLE VALUES('PII_POLICY3_DAON_CORE_DELETE','1','GEN_KEYMAP','DAON','COOWNSER','FACLIGNE',NULL, NULL,'KEYMAP',NULL,NULL,NULL,NULL,'10','800','1',NULL,'청구번호','FLIDOSID','KEY_DOSID','4',NULL,'SELECT ''PII_POLICY3_CORE'',''DAON'',''KEY_FACID'', TO_DATE(''#BASEDATE'',''yyyy/mm/dd''), B.CUSTID, A.FACID , EXPECTED_ARC_DEL_DATE FROM COOWNSER.FACLIGNE A, COTDL.TBL_PIIKEYMAP B WHERE  B.KEY_NAME = ''KEY_DOSID'' AND B.KEYMAP_ID = ''#KEYMAP_ID'' AND B.BASEDATE = TO_DATE(''#BASEDATE'',''yyyy/mm/dd'') AND A.FLIDOSID = B.VAL1','INSERT INTO COTDL.TBL_PIIKEYMAP(KEYMAP_ID, DB, KEY_NAME, BASEDATE, CUSTID, VAL1, EXPECTED_ARC_DEL_DATE) SELECT ''PII_POLICY3_CORE'',''DAON'',''KEY_FACID'', TO_DATE(''#BASEDATE'',''yyyy/mm/dd''), B.CUSTID, A.FACID , EXPECTED_ARC_DEL_DATE FROM COOWNSER.FACLIGNE A, COTDL.TBL_PIIKEYMAP B WHERE  B.KEY_NAME = ''KEY_DOSID'' AND B.KEYMAP_ID = ''#KEYMAP_ID'' AND B.BASEDATE = TO_DATE(''#BASEDATE'',''yyyy/mm/dd'') AND A.FLIDOSID = B.VAL1','PII_POLICY3_CORE','KEY_FACID','FACID','B.KEY_NAME = ''KEY_FACID'' AND B.KEYMAP_ID = ''#KEYMAP_ID'' AND B.BASEDATE = TO_DATE(''#BASEDATE'',''yyyy/mm/dd'') AND A.#WHERECOL1 = B.VAL1','AUTO',now(),now(),'member_it','member_it');</v>
      </c>
    </row>
    <row r="13" spans="1:21" s="7" customFormat="1" ht="13.5" x14ac:dyDescent="0.3">
      <c r="A13" s="11" t="s">
        <v>134</v>
      </c>
      <c r="B13" s="6" t="s">
        <v>24</v>
      </c>
      <c r="C13" s="6" t="s">
        <v>25</v>
      </c>
      <c r="D13" s="11" t="s">
        <v>136</v>
      </c>
      <c r="E13" s="6" t="s">
        <v>22</v>
      </c>
      <c r="F13" s="6" t="s">
        <v>122</v>
      </c>
      <c r="G13" s="6">
        <v>10</v>
      </c>
      <c r="H13" s="6">
        <f t="shared" si="0"/>
        <v>900</v>
      </c>
      <c r="I13" s="6">
        <v>1</v>
      </c>
      <c r="J13" s="6" t="s">
        <v>21</v>
      </c>
      <c r="K13" s="6" t="s">
        <v>135</v>
      </c>
      <c r="L13" s="6" t="s">
        <v>86</v>
      </c>
      <c r="M13" s="6" t="s">
        <v>123</v>
      </c>
      <c r="N13" s="6" t="s">
        <v>19</v>
      </c>
      <c r="O13" s="6" t="s">
        <v>20</v>
      </c>
      <c r="P13" s="6">
        <v>4</v>
      </c>
      <c r="Q13" s="6" t="s">
        <v>79</v>
      </c>
      <c r="R13" s="6" t="str">
        <f>IF(A13="","","INSERT INTO COTDL.TBL_PIIKEYMAP"&amp;IF(AND(COUNTIF(H:H,H13)&gt;1,I13&lt;999),"_TMP","")&amp;"(KEYMAP_ID, DB, KEY_NAME, BASEDATE, CUSTID, VAL1, EXPECTED_ARC_DEL_DATE) ")</f>
        <v xml:space="preserve">INSERT INTO COTDL.TBL_PIIKEYMAP(KEYMAP_ID, DB, KEY_NAME, BASEDATE, CUSTID, VAL1, EXPECTED_ARC_DEL_DATE) </v>
      </c>
      <c r="S13" s="6" t="str">
        <f>"SELECT "&amp;IF(I13=999,"DISTINCT ","")&amp;"''"&amp;D12&amp;"'',''"&amp;K13&amp;"'',''"&amp;E13&amp;"'', TO_DATE(''#BASEDATE'',''yyyy/mm/dd''),"&amp;IF(I13=999," A.CUSTID, A.VAL1"&amp;IF(IFERROR(MID(J12&amp;","&amp;",",FIND(",",J12&amp;","&amp;",",1)+1,FIND(",",J12&amp;","&amp;",",FIND(",",J12&amp;","&amp;",",1)+1)-FIND(",",J12&amp;","&amp;",",1)-1),"")="","",", A.VAL2")&amp;IF(IFERROR(MID(J12&amp;",",FIND(",",J12&amp;",",FIND(",",J12&amp;",",1)+1)+1,FIND(",",J12&amp;",",FIND(",",J12&amp;",",FIND(",",J12&amp;",",1)+1)+1)-FIND(",",J12&amp;",",FIND(",",J12&amp;",",1)+1)-1),"")="","",", A.VAL3")&amp;IF(IFERROR(SUBSTITUTE(MID(J12&amp;",",FIND(",",J12&amp;",",FIND(",",J12&amp;",",FIND(",",J12&amp;",",1)+1)+1)+1,LEN(J12)),",",""),"")="","",", A.VAL4")&amp;""," B.CUSTID, A."&amp;SUBSTITUTE(J13,",",", A."))&amp;" , EXPECTED_ARC_DEL_DATE FROM "&amp;IF(I13=999, "COTDL.TBL_PIIKEYMAP_TMP A",L13&amp;"."&amp;M13&amp;" A, COTDL.TBL_PIIKEYMAP B")&amp;" WHERE" &amp;" "&amp; IF(I13=999,"DB = ''"&amp;K13&amp;"'' AND KEY_NAME = ''"&amp;E13&amp;"'' AND KEYMAP_ID = ''#KEYMAP_ID'' AND BASEDATE =TO_DATE(''#BASEDATE'',''yyyy/mm/dd'')", " "&amp;SUBSTITUTE(VLOOKUP(O13,E:T,16,FALSE),"#WHERECOL1",N13))</f>
        <v>SELECT ''PII_POLICY3_CORE'',''DAON'',''KEY_CCAID'', TO_DATE(''#BASEDATE'',''yyyy/mm/dd''), B.CUSTID, A.CCAID , EXPECTED_ARC_DEL_DATE FROM COOWNSER.COLLECTIONCASE A, COTDL.TBL_PIIKEYMAP B WHERE  B.KEY_NAME = ''KEY_DOSID'' AND B.KEYMAP_ID = ''#KEYMAP_ID'' AND B.BASEDATE = TO_DATE(''#BASEDATE'',''yyyy/mm/dd'') AND A.DOSID = B.VAL1</v>
      </c>
      <c r="T13" s="6" t="str">
        <f t="shared" si="1"/>
        <v>B.KEY_NAME = ''KEY_CCAID'' AND B.KEYMAP_ID = ''#KEYMAP_ID'' AND B.BASEDATE = TO_DATE(''#BASEDATE'',''yyyy/mm/dd'') AND A.#WHERECOL1 = B.VAL1</v>
      </c>
      <c r="U13" s="16" t="str">
        <f t="shared" si="2"/>
        <v>INSERT INTO COTDL.TBL_PIISTEPTABLE VALUES('PII_POLICY3_DAON_CORE_DELETE','1','GEN_KEYMAP','DAON','COOWNSER','COLLECTIONCASE',NULL, NULL,'KEYMAP',NULL,NULL,NULL,NULL,'10','900','1',NULL,'채권번호','DOSID','KEY_DOSID','4',NULL,'SELECT ''PII_POLICY3_CORE'',''DAON'',''KEY_CCAID'', TO_DATE(''#BASEDATE'',''yyyy/mm/dd''), B.CUSTID, A.CCAID , EXPECTED_ARC_DEL_DATE FROM COOWNSER.COLLECTIONCASE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''PII_POLICY3_CORE'',''DAON'',''KEY_CCAID'', TO_DATE(''#BASEDATE'',''yyyy/mm/dd''), B.CUSTID, A.CCAID , EXPECTED_ARC_DEL_DATE FROM COOWNSER.COLLECTIONCASE A, COTDL.TBL_PIIKEYMAP B WHERE  B.KEY_NAME = ''KEY_DOSID'' AND B.KEYMAP_ID = ''#KEYMAP_ID'' AND B.BASEDATE = TO_DATE(''#BASEDATE'',''yyyy/mm/dd'') AND A.DOSID = B.VAL1','PII_POLICY3_CORE','KEY_CCAID','CCAID','B.KEY_NAME = ''KEY_CCAID'' AND B.KEYMAP_ID = ''#KEYMAP_ID'' AND B.BASEDATE = TO_DATE(''#BASEDATE'',''yyyy/mm/dd'') AND A.#WHERECOL1 = B.VAL1','AUTO',now(),now(),'member_it','member_it');</v>
      </c>
    </row>
    <row r="14" spans="1:21" s="7" customFormat="1" ht="13.5" x14ac:dyDescent="0.3">
      <c r="A14" s="11" t="s">
        <v>134</v>
      </c>
      <c r="B14" s="6" t="s">
        <v>24</v>
      </c>
      <c r="C14" s="6" t="s">
        <v>25</v>
      </c>
      <c r="D14" s="11" t="s">
        <v>136</v>
      </c>
      <c r="E14" s="6" t="s">
        <v>14</v>
      </c>
      <c r="F14" s="6" t="s">
        <v>101</v>
      </c>
      <c r="G14" s="6">
        <v>10</v>
      </c>
      <c r="H14" s="6">
        <f t="shared" si="0"/>
        <v>1000</v>
      </c>
      <c r="I14" s="6">
        <v>1</v>
      </c>
      <c r="J14" s="6" t="s">
        <v>13</v>
      </c>
      <c r="K14" s="6" t="s">
        <v>135</v>
      </c>
      <c r="L14" s="6" t="s">
        <v>86</v>
      </c>
      <c r="M14" s="6" t="s">
        <v>124</v>
      </c>
      <c r="N14" s="6" t="s">
        <v>19</v>
      </c>
      <c r="O14" s="6" t="s">
        <v>20</v>
      </c>
      <c r="P14" s="6">
        <v>4</v>
      </c>
      <c r="Q14" s="6" t="s">
        <v>79</v>
      </c>
      <c r="R14" s="6" t="str">
        <f>IF(A14="","","INSERT INTO COTDL.TBL_PIIKEYMAP"&amp;IF(AND(COUNTIF(H:H,H14)&gt;1,I14&lt;999),"_TMP","")&amp;"(KEYMAP_ID, DB, KEY_NAME, BASEDATE, CUSTID, VAL1, EXPECTED_ARC_DEL_DATE) ")</f>
        <v xml:space="preserve">INSERT INTO COTDL.TBL_PIIKEYMAP(KEYMAP_ID, DB, KEY_NAME, BASEDATE, CUSTID, VAL1, EXPECTED_ARC_DEL_DATE) </v>
      </c>
      <c r="S14" s="6" t="str">
        <f>"SELECT "&amp;IF(I14=999,"DISTINCT ","")&amp;"''"&amp;D13&amp;"'',''"&amp;K14&amp;"'',''"&amp;E14&amp;"'', TO_DATE(''#BASEDATE'',''yyyy/mm/dd''),"&amp;IF(I14=999," A.CUSTID, A.VAL1"&amp;IF(IFERROR(MID(J13&amp;","&amp;",",FIND(",",J13&amp;","&amp;",",1)+1,FIND(",",J13&amp;","&amp;",",FIND(",",J13&amp;","&amp;",",1)+1)-FIND(",",J13&amp;","&amp;",",1)-1),"")="","",", A.VAL2")&amp;IF(IFERROR(MID(J13&amp;",",FIND(",",J13&amp;",",FIND(",",J13&amp;",",1)+1)+1,FIND(",",J13&amp;",",FIND(",",J13&amp;",",FIND(",",J13&amp;",",1)+1)+1)-FIND(",",J13&amp;",",FIND(",",J13&amp;",",1)+1)-1),"")="","",", A.VAL3")&amp;IF(IFERROR(SUBSTITUTE(MID(J13&amp;",",FIND(",",J13&amp;",",FIND(",",J13&amp;",",FIND(",",J13&amp;",",1)+1)+1)+1,LEN(J13)),",",""),"")="","",", A.VAL4")&amp;""," B.CUSTID, A."&amp;SUBSTITUTE(J14,",",", A."))&amp;" , EXPECTED_ARC_DEL_DATE FROM "&amp;IF(I14=999, "COTDL.TBL_PIIKEYMAP_TMP A",L14&amp;"."&amp;M14&amp;" A, COTDL.TBL_PIIKEYMAP B")&amp;" WHERE" &amp;" "&amp; IF(I14=999,"DB = ''"&amp;K14&amp;"'' AND KEY_NAME = ''"&amp;E14&amp;"'' AND KEYMAP_ID = ''#KEYMAP_ID'' AND BASEDATE =TO_DATE(''#BASEDATE'',''yyyy/mm/dd'')", " "&amp;SUBSTITUTE(VLOOKUP(O14,E:T,16,FALSE),"#WHERECOL1",N14))</f>
        <v>SELECT ''PII_POLICY3_CORE'',''DAON'',''KEY_DEPID'', TO_DATE(''#BASEDATE'',''yyyy/mm/dd''), B.CUSTID, A.DEPID , EXPECTED_ARC_DEL_DATE FROM COOWNSER.DEPLIGNE A, COTDL.TBL_PIIKEYMAP B WHERE  B.KEY_NAME = ''KEY_DOSID'' AND B.KEYMAP_ID = ''#KEYMAP_ID'' AND B.BASEDATE = TO_DATE(''#BASEDATE'',''yyyy/mm/dd'') AND A.DOSID = B.VAL1</v>
      </c>
      <c r="T14" s="6" t="str">
        <f t="shared" si="1"/>
        <v>B.KEY_NAME = ''KEY_DEPID'' AND B.KEYMAP_ID = ''#KEYMAP_ID'' AND B.BASEDATE = TO_DATE(''#BASEDATE'',''yyyy/mm/dd'') AND A.#WHERECOL1 = B.VAL1</v>
      </c>
      <c r="U14" s="16" t="str">
        <f t="shared" si="2"/>
        <v>INSERT INTO COTDL.TBL_PIISTEPTABLE VALUES('PII_POLICY3_DAON_CORE_DELETE','1','GEN_KEYMAP','DAON','COOWNSER','DEPLIGNE',NULL, NULL,'KEYMAP',NULL,NULL,NULL,NULL,'10','1000','1',NULL,'입금번호','DOSID','KEY_DOSID','4',NULL,'SELECT ''PII_POLICY3_CORE'',''DAON'',''KEY_DEPID'', TO_DATE(''#BASEDATE'',''yyyy/mm/dd''), B.CUSTID, A.DEPID , EXPECTED_ARC_DEL_DATE FROM COOWNSER.DEPLIGNE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''PII_POLICY3_CORE'',''DAON'',''KEY_DEPID'', TO_DATE(''#BASEDATE'',''yyyy/mm/dd''), B.CUSTID, A.DEPID , EXPECTED_ARC_DEL_DATE FROM COOWNSER.DEPLIGNE A, COTDL.TBL_PIIKEYMAP B WHERE  B.KEY_NAME = ''KEY_DOSID'' AND B.KEYMAP_ID = ''#KEYMAP_ID'' AND B.BASEDATE = TO_DATE(''#BASEDATE'',''yyyy/mm/dd'') AND A.DOSID = B.VAL1','PII_POLICY3_CORE','KEY_DEPID','DEPID','B.KEY_NAME = ''KEY_DEPID'' AND B.KEYMAP_ID = ''#KEYMAP_ID'' AND B.BASEDATE = TO_DATE(''#BASEDATE'',''yyyy/mm/dd'') AND A.#WHERECOL1 = B.VAL1','AUTO',now(),now(),'member_it','member_it');</v>
      </c>
    </row>
    <row r="15" spans="1:21" s="7" customFormat="1" ht="13.5" x14ac:dyDescent="0.3">
      <c r="A15" s="11" t="s">
        <v>134</v>
      </c>
      <c r="B15" s="6" t="s">
        <v>24</v>
      </c>
      <c r="C15" s="6" t="s">
        <v>25</v>
      </c>
      <c r="D15" s="11" t="s">
        <v>136</v>
      </c>
      <c r="E15" s="6" t="s">
        <v>40</v>
      </c>
      <c r="F15" s="6" t="s">
        <v>125</v>
      </c>
      <c r="G15" s="6">
        <v>10</v>
      </c>
      <c r="H15" s="6">
        <f t="shared" si="0"/>
        <v>1100</v>
      </c>
      <c r="I15" s="6">
        <v>1</v>
      </c>
      <c r="J15" s="6" t="s">
        <v>41</v>
      </c>
      <c r="K15" s="6" t="s">
        <v>135</v>
      </c>
      <c r="L15" s="6" t="s">
        <v>86</v>
      </c>
      <c r="M15" s="6" t="s">
        <v>126</v>
      </c>
      <c r="N15" s="6" t="s">
        <v>39</v>
      </c>
      <c r="O15" s="6" t="s">
        <v>20</v>
      </c>
      <c r="P15" s="6">
        <v>4</v>
      </c>
      <c r="Q15" s="6" t="s">
        <v>79</v>
      </c>
      <c r="R15" s="6" t="str">
        <f>IF(A15="","","INSERT INTO COTDL.TBL_PIIKEYMAP"&amp;IF(AND(COUNTIF(H:H,H15)&gt;1,I15&lt;999),"_TMP","")&amp;"(KEYMAP_ID, DB, KEY_NAME, BASEDATE, CUSTID, VAL1, EXPECTED_ARC_DEL_DATE) ")</f>
        <v xml:space="preserve">INSERT INTO COTDL.TBL_PIIKEYMAP(KEYMAP_ID, DB, KEY_NAME, BASEDATE, CUSTID, VAL1, EXPECTED_ARC_DEL_DATE) </v>
      </c>
      <c r="S15" s="6" t="str">
        <f>"SELECT "&amp;IF(I15=999,"DISTINCT ","")&amp;"''"&amp;D14&amp;"'',''"&amp;K15&amp;"'',''"&amp;E15&amp;"'', TO_DATE(''#BASEDATE'',''yyyy/mm/dd''),"&amp;IF(I15=999," A.CUSTID, A.VAL1"&amp;IF(IFERROR(MID(J14&amp;","&amp;",",FIND(",",J14&amp;","&amp;",",1)+1,FIND(",",J14&amp;","&amp;",",FIND(",",J14&amp;","&amp;",",1)+1)-FIND(",",J14&amp;","&amp;",",1)-1),"")="","",", A.VAL2")&amp;IF(IFERROR(MID(J14&amp;",",FIND(",",J14&amp;",",FIND(",",J14&amp;",",1)+1)+1,FIND(",",J14&amp;",",FIND(",",J14&amp;",",FIND(",",J14&amp;",",1)+1)+1)-FIND(",",J14&amp;",",FIND(",",J14&amp;",",1)+1)-1),"")="","",", A.VAL3")&amp;IF(IFERROR(SUBSTITUTE(MID(J14&amp;",",FIND(",",J14&amp;",",FIND(",",J14&amp;",",FIND(",",J14&amp;",",1)+1)+1)+1,LEN(J14)),",",""),"")="","",", A.VAL4")&amp;""," B.CUSTID, A."&amp;SUBSTITUTE(J15,",",", A."))&amp;" , EXPECTED_ARC_DEL_DATE FROM "&amp;IF(I15=999, "COTDL.TBL_PIIKEYMAP_TMP A",L15&amp;"."&amp;M15&amp;" A, COTDL.TBL_PIIKEYMAP B")&amp;" WHERE" &amp;" "&amp; IF(I15=999,"DB = ''"&amp;K15&amp;"'' AND KEY_NAME = ''"&amp;E15&amp;"'' AND KEYMAP_ID = ''#KEYMAP_ID'' AND BASEDATE =TO_DATE(''#BASEDATE'',''yyyy/mm/dd'')", " "&amp;SUBSTITUTE(VLOOKUP(O15,E:T,16,FALSE),"#WHERECOL1",N15))</f>
        <v>SELECT ''PII_POLICY3_CORE'',''DAON'',''KEY_COLID'', TO_DATE(''#BASEDATE'',''yyyy/mm/dd''), B.CUSTID, A.COLID , EXPECTED_ARC_DEL_DATE FROM COOWNSER.COLOBJECT A, COTDL.TBL_PIIKEYMAP B WHERE  B.KEY_NAME = ''KEY_DOSID'' AND B.KEYMAP_ID = ''#KEYMAP_ID'' AND B.BASEDATE = TO_DATE(''#BASEDATE'',''yyyy/mm/dd'') AND A.DOSIDPROSPECT = B.VAL1</v>
      </c>
      <c r="T15" s="6" t="str">
        <f t="shared" si="1"/>
        <v>B.KEY_NAME = ''KEY_COLID'' AND B.KEYMAP_ID = ''#KEYMAP_ID'' AND B.BASEDATE = TO_DATE(''#BASEDATE'',''yyyy/mm/dd'') AND A.#WHERECOL1 = B.VAL1</v>
      </c>
      <c r="U15" s="16" t="str">
        <f t="shared" si="2"/>
        <v>INSERT INTO COTDL.TBL_PIISTEPTABLE VALUES('PII_POLICY3_DAON_CORE_DELETE','1','GEN_KEYMAP','DAON','COOWNSER','COLOBJECT',NULL, NULL,'KEYMAP',NULL,NULL,NULL,NULL,'10','1100','1',NULL,'담보번호','DOSIDPROSPECT','KEY_DOSID','4',NULL,'SELECT ''PII_POLICY3_CORE'',''DAON'',''KEY_COLID'', TO_DATE(''#BASEDATE'',''yyyy/mm/dd''), B.CUSTID, A.COLID , EXPECTED_ARC_DEL_DATE FROM COOWNSER.COLOBJECT A, COTDL.TBL_PIIKEYMAP B WHERE  B.KEY_NAME = ''KEY_DOSID'' AND B.KEYMAP_ID = ''#KEYMAP_ID'' AND B.BASEDATE = TO_DATE(''#BASEDATE'',''yyyy/mm/dd'') AND A.DOSIDPROSPECT = B.VAL1','INSERT INTO COTDL.TBL_PIIKEYMAP(KEYMAP_ID, DB, KEY_NAME, BASEDATE, CUSTID, VAL1, EXPECTED_ARC_DEL_DATE) SELECT ''PII_POLICY3_CORE'',''DAON'',''KEY_COLID'', TO_DATE(''#BASEDATE'',''yyyy/mm/dd''), B.CUSTID, A.COLID , EXPECTED_ARC_DEL_DATE FROM COOWNSER.COLOBJECT A, COTDL.TBL_PIIKEYMAP B WHERE  B.KEY_NAME = ''KEY_DOSID'' AND B.KEYMAP_ID = ''#KEYMAP_ID'' AND B.BASEDATE = TO_DATE(''#BASEDATE'',''yyyy/mm/dd'') AND A.DOSIDPROSPECT = B.VAL1','PII_POLICY3_CORE','KEY_COLID','COLID','B.KEY_NAME = ''KEY_COLID'' AND B.KEYMAP_ID = ''#KEYMAP_ID'' AND B.BASEDATE = TO_DATE(''#BASEDATE'',''yyyy/mm/dd'') AND A.#WHERECOL1 = B.VAL1','AUTO',now(),now(),'member_it','member_it');</v>
      </c>
    </row>
    <row r="16" spans="1:21" s="7" customFormat="1" ht="13.5" x14ac:dyDescent="0.3">
      <c r="A16" s="11" t="s">
        <v>134</v>
      </c>
      <c r="B16" s="6" t="s">
        <v>24</v>
      </c>
      <c r="C16" s="6" t="s">
        <v>25</v>
      </c>
      <c r="D16" s="11" t="s">
        <v>136</v>
      </c>
      <c r="E16" s="6" t="s">
        <v>42</v>
      </c>
      <c r="F16" s="6" t="s">
        <v>127</v>
      </c>
      <c r="G16" s="6">
        <v>10</v>
      </c>
      <c r="H16" s="6">
        <f t="shared" si="0"/>
        <v>1200</v>
      </c>
      <c r="I16" s="6">
        <v>1</v>
      </c>
      <c r="J16" s="6" t="s">
        <v>43</v>
      </c>
      <c r="K16" s="6" t="s">
        <v>135</v>
      </c>
      <c r="L16" s="6" t="s">
        <v>86</v>
      </c>
      <c r="M16" s="6" t="s">
        <v>128</v>
      </c>
      <c r="N16" s="6" t="s">
        <v>19</v>
      </c>
      <c r="O16" s="6" t="s">
        <v>20</v>
      </c>
      <c r="P16" s="6">
        <v>4</v>
      </c>
      <c r="Q16" s="6" t="s">
        <v>79</v>
      </c>
      <c r="R16" s="6" t="str">
        <f>IF(A16="","","INSERT INTO COTDL.TBL_PIIKEYMAP"&amp;IF(AND(COUNTIF(H:H,H16)&gt;1,I16&lt;999),"_TMP","")&amp;"(KEYMAP_ID, DB, KEY_NAME, BASEDATE, CUSTID, VAL1, EXPECTED_ARC_DEL_DATE) ")</f>
        <v xml:space="preserve">INSERT INTO COTDL.TBL_PIIKEYMAP(KEYMAP_ID, DB, KEY_NAME, BASEDATE, CUSTID, VAL1, EXPECTED_ARC_DEL_DATE) </v>
      </c>
      <c r="S16" s="6" t="str">
        <f>"SELECT "&amp;IF(I16=999,"DISTINCT ","")&amp;"''"&amp;D15&amp;"'',''"&amp;K16&amp;"'',''"&amp;E16&amp;"'', TO_DATE(''#BASEDATE'',''yyyy/mm/dd''),"&amp;IF(I16=999," A.CUSTID, A.VAL1"&amp;IF(IFERROR(MID(J15&amp;","&amp;",",FIND(",",J15&amp;","&amp;",",1)+1,FIND(",",J15&amp;","&amp;",",FIND(",",J15&amp;","&amp;",",1)+1)-FIND(",",J15&amp;","&amp;",",1)-1),"")="","",", A.VAL2")&amp;IF(IFERROR(MID(J15&amp;",",FIND(",",J15&amp;",",FIND(",",J15&amp;",",1)+1)+1,FIND(",",J15&amp;",",FIND(",",J15&amp;",",FIND(",",J15&amp;",",1)+1)+1)-FIND(",",J15&amp;",",FIND(",",J15&amp;",",1)+1)-1),"")="","",", A.VAL3")&amp;IF(IFERROR(SUBSTITUTE(MID(J15&amp;",",FIND(",",J15&amp;",",FIND(",",J15&amp;",",FIND(",",J15&amp;",",1)+1)+1)+1,LEN(J15)),",",""),"")="","",", A.VAL4")&amp;""," B.CUSTID, A."&amp;SUBSTITUTE(J16,",",", A."))&amp;" , EXPECTED_ARC_DEL_DATE FROM "&amp;IF(I16=999, "COTDL.TBL_PIIKEYMAP_TMP A",L16&amp;"."&amp;M16&amp;" A, COTDL.TBL_PIIKEYMAP B")&amp;" WHERE" &amp;" "&amp; IF(I16=999,"DB = ''"&amp;K16&amp;"'' AND KEY_NAME = ''"&amp;E16&amp;"'' AND KEYMAP_ID = ''#KEYMAP_ID'' AND BASEDATE =TO_DATE(''#BASEDATE'',''yyyy/mm/dd'')", " "&amp;SUBSTITUTE(VLOOKUP(O16,E:T,16,FALSE),"#WHERECOL1",N16))</f>
        <v>SELECT ''PII_POLICY3_CORE'',''DAON'',''KEY_CARID'', TO_DATE(''#BASEDATE'',''yyyy/mm/dd''), B.CUSTID, A.CARID , EXPECTED_ARC_DEL_DATE FROM COOWNSER.CARD A, COTDL.TBL_PIIKEYMAP B WHERE  B.KEY_NAME = ''KEY_DOSID'' AND B.KEYMAP_ID = ''#KEYMAP_ID'' AND B.BASEDATE = TO_DATE(''#BASEDATE'',''yyyy/mm/dd'') AND A.DOSID = B.VAL1</v>
      </c>
      <c r="T16" s="6" t="str">
        <f t="shared" si="1"/>
        <v>B.KEY_NAME = ''KEY_CARID'' AND B.KEYMAP_ID = ''#KEYMAP_ID'' AND B.BASEDATE = TO_DATE(''#BASEDATE'',''yyyy/mm/dd'') AND A.#WHERECOL1 = B.VAL1</v>
      </c>
      <c r="U16" s="16" t="str">
        <f t="shared" si="2"/>
        <v>INSERT INTO COTDL.TBL_PIISTEPTABLE VALUES('PII_POLICY3_DAON_CORE_DELETE','1','GEN_KEYMAP','DAON','COOWNSER','CARD',NULL, NULL,'KEYMAP',NULL,NULL,NULL,NULL,'10','1200','1',NULL,'카드번호','DOSID','KEY_DOSID','4',NULL,'SELECT ''PII_POLICY3_CORE'',''DAON'',''KEY_CARID'', TO_DATE(''#BASEDATE'',''yyyy/mm/dd''), B.CUSTID, A.CARID , EXPECTED_ARC_DEL_DATE FROM COOWNSER.CARD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''PII_POLICY3_CORE'',''DAON'',''KEY_CARID'', TO_DATE(''#BASEDATE'',''yyyy/mm/dd''), B.CUSTID, A.CARID , EXPECTED_ARC_DEL_DATE FROM COOWNSER.CARD A, COTDL.TBL_PIIKEYMAP B WHERE  B.KEY_NAME = ''KEY_DOSID'' AND B.KEYMAP_ID = ''#KEYMAP_ID'' AND B.BASEDATE = TO_DATE(''#BASEDATE'',''yyyy/mm/dd'') AND A.DOSID = B.VAL1','PII_POLICY3_CORE','KEY_CARID','CARID','B.KEY_NAME = ''KEY_CARID'' AND B.KEYMAP_ID = ''#KEYMAP_ID'' AND B.BASEDATE = TO_DATE(''#BASEDATE'',''yyyy/mm/dd'') AND A.#WHERECOL1 = B.VAL1','AUTO',now(),now(),'member_it','member_it');</v>
      </c>
    </row>
    <row r="17" spans="1:21" s="7" customFormat="1" ht="13.5" x14ac:dyDescent="0.3">
      <c r="A17" s="11" t="s">
        <v>134</v>
      </c>
      <c r="B17" s="6" t="s">
        <v>24</v>
      </c>
      <c r="C17" s="6" t="s">
        <v>25</v>
      </c>
      <c r="D17" s="11" t="s">
        <v>136</v>
      </c>
      <c r="E17" s="6" t="s">
        <v>44</v>
      </c>
      <c r="F17" s="6" t="s">
        <v>129</v>
      </c>
      <c r="G17" s="6">
        <v>10</v>
      </c>
      <c r="H17" s="6">
        <f t="shared" si="0"/>
        <v>1300</v>
      </c>
      <c r="I17" s="6">
        <v>1</v>
      </c>
      <c r="J17" s="6" t="s">
        <v>45</v>
      </c>
      <c r="K17" s="6" t="s">
        <v>135</v>
      </c>
      <c r="L17" s="6" t="s">
        <v>86</v>
      </c>
      <c r="M17" s="6" t="s">
        <v>130</v>
      </c>
      <c r="N17" s="6" t="s">
        <v>17</v>
      </c>
      <c r="O17" s="6" t="s">
        <v>18</v>
      </c>
      <c r="P17" s="6">
        <v>4</v>
      </c>
      <c r="Q17" s="6" t="s">
        <v>79</v>
      </c>
      <c r="R17" s="6" t="str">
        <f>IF(A17="","","INSERT INTO COTDL.TBL_PIIKEYMAP"&amp;IF(AND(COUNTIF(H:H,H17)&gt;1,I17&lt;999),"_TMP","")&amp;"(KEYMAP_ID, DB, KEY_NAME, BASEDATE, CUSTID, VAL1, EXPECTED_ARC_DEL_DATE) ")</f>
        <v xml:space="preserve">INSERT INTO COTDL.TBL_PIIKEYMAP(KEYMAP_ID, DB, KEY_NAME, BASEDATE, CUSTID, VAL1, EXPECTED_ARC_DEL_DATE) </v>
      </c>
      <c r="S17" s="6" t="str">
        <f>"SELECT "&amp;IF(I17=999,"DISTINCT ","")&amp;"''"&amp;D16&amp;"'',''"&amp;K17&amp;"'',''"&amp;E17&amp;"'', TO_DATE(''#BASEDATE'',''yyyy/mm/dd''),"&amp;IF(I17=999," A.CUSTID, A.VAL1"&amp;IF(IFERROR(MID(J16&amp;","&amp;",",FIND(",",J16&amp;","&amp;",",1)+1,FIND(",",J16&amp;","&amp;",",FIND(",",J16&amp;","&amp;",",1)+1)-FIND(",",J16&amp;","&amp;",",1)-1),"")="","",", A.VAL2")&amp;IF(IFERROR(MID(J16&amp;",",FIND(",",J16&amp;",",FIND(",",J16&amp;",",1)+1)+1,FIND(",",J16&amp;",",FIND(",",J16&amp;",",FIND(",",J16&amp;",",1)+1)+1)-FIND(",",J16&amp;",",FIND(",",J16&amp;",",1)+1)-1),"")="","",", A.VAL3")&amp;IF(IFERROR(SUBSTITUTE(MID(J16&amp;",",FIND(",",J16&amp;",",FIND(",",J16&amp;",",FIND(",",J16&amp;",",1)+1)+1)+1,LEN(J16)),",",""),"")="","",", A.VAL4")&amp;""," B.CUSTID, A."&amp;SUBSTITUTE(J17,",",", A."))&amp;" , EXPECTED_ARC_DEL_DATE FROM "&amp;IF(I17=999, "COTDL.TBL_PIIKEYMAP_TMP A",L17&amp;"."&amp;M17&amp;" A, COTDL.TBL_PIIKEYMAP B")&amp;" WHERE" &amp;" "&amp; IF(I17=999,"DB = ''"&amp;K17&amp;"'' AND KEY_NAME = ''"&amp;E17&amp;"'' AND KEYMAP_ID = ''#KEYMAP_ID'' AND BASEDATE =TO_DATE(''#BASEDATE'',''yyyy/mm/dd'')", " "&amp;SUBSTITUTE(VLOOKUP(O17,E:T,16,FALSE),"#WHERECOL1",N17))</f>
        <v>SELECT ''PII_POLICY3_CORE'',''DAON'',''KEY_ADRID'', TO_DATE(''#BASEDATE'',''yyyy/mm/dd''), B.CUSTID, A.ADRID , EXPECTED_ARC_DEL_DATE FROM COOWNSER.ACTADRESSE A, COTDL.TBL_PIIKEYMAP B WHERE  B.KEY_NAME = ''KEY_ACTID'' AND B.KEYMAP_ID = ''#KEYMAP_ID'' AND B.BASEDATE = TO_DATE(''#BASEDATE'',''yyyy/mm/dd'') AND A.ACTID = B.VAL1</v>
      </c>
      <c r="T17" s="6" t="str">
        <f t="shared" si="1"/>
        <v>B.KEY_NAME = ''KEY_ADRID'' AND B.KEYMAP_ID = ''#KEYMAP_ID'' AND B.BASEDATE = TO_DATE(''#BASEDATE'',''yyyy/mm/dd'') AND A.#WHERECOL1 = B.VAL1</v>
      </c>
      <c r="U17" s="16" t="str">
        <f t="shared" si="2"/>
        <v>INSERT INTO COTDL.TBL_PIISTEPTABLE VALUES('PII_POLICY3_DAON_CORE_DELETE','1','GEN_KEYMAP','DAON','COOWNSER','ACTADRESSE',NULL, NULL,'KEYMAP',NULL,NULL,NULL,NULL,'10','1300','1',NULL,'주소번호','ACTID','KEY_ACTID','4',NULL,'SELECT ''PII_POLICY3_CORE'',''DAON'',''KEY_ADRID'', TO_DATE(''#BASEDATE'',''yyyy/mm/dd''), B.CUSTID, A.ADRID , EXPECTED_ARC_DEL_DATE FROM COOWNSER.ACTADRESSE A, COTDL.TBL_PIIKEYMAP B WHERE  B.KEY_NAME = ''KEY_ACTID'' AND B.KEYMAP_ID = ''#KEYMAP_ID'' AND B.BASEDATE = TO_DATE(''#BASEDATE'',''yyyy/mm/dd'') AND A.ACTID = B.VAL1','INSERT INTO COTDL.TBL_PIIKEYMAP(KEYMAP_ID, DB, KEY_NAME, BASEDATE, CUSTID, VAL1, EXPECTED_ARC_DEL_DATE) SELECT ''PII_POLICY3_CORE'',''DAON'',''KEY_ADRID'', TO_DATE(''#BASEDATE'',''yyyy/mm/dd''), B.CUSTID, A.ADRID , EXPECTED_ARC_DEL_DATE FROM COOWNSER.ACTADRESSE A, COTDL.TBL_PIIKEYMAP B WHERE  B.KEY_NAME = ''KEY_ACTID'' AND B.KEYMAP_ID = ''#KEYMAP_ID'' AND B.BASEDATE = TO_DATE(''#BASEDATE'',''yyyy/mm/dd'') AND A.ACTID = B.VAL1','PII_POLICY3_CORE','KEY_ADRID','ADRID','B.KEY_NAME = ''KEY_ADRID'' AND B.KEYMAP_ID = ''#KEYMAP_ID'' AND B.BASEDATE = TO_DATE(''#BASEDATE'',''yyyy/mm/dd'') AND A.#WHERECOL1 = B.VAL1','AUTO',now(),now(),'member_it','member_it');</v>
      </c>
    </row>
    <row r="18" spans="1:21" s="7" customFormat="1" ht="13.5" x14ac:dyDescent="0.3">
      <c r="A18" s="11" t="s">
        <v>134</v>
      </c>
      <c r="B18" s="6" t="s">
        <v>24</v>
      </c>
      <c r="C18" s="6" t="s">
        <v>25</v>
      </c>
      <c r="D18" s="11" t="s">
        <v>136</v>
      </c>
      <c r="E18" s="6" t="s">
        <v>46</v>
      </c>
      <c r="F18" s="6" t="s">
        <v>104</v>
      </c>
      <c r="G18" s="6">
        <v>10</v>
      </c>
      <c r="H18" s="6">
        <f t="shared" si="0"/>
        <v>1400</v>
      </c>
      <c r="I18" s="6">
        <v>1</v>
      </c>
      <c r="J18" s="6" t="s">
        <v>47</v>
      </c>
      <c r="K18" s="6" t="s">
        <v>135</v>
      </c>
      <c r="L18" s="6" t="s">
        <v>86</v>
      </c>
      <c r="M18" s="6" t="s">
        <v>131</v>
      </c>
      <c r="N18" s="6" t="s">
        <v>19</v>
      </c>
      <c r="O18" s="6" t="s">
        <v>20</v>
      </c>
      <c r="P18" s="6">
        <v>4</v>
      </c>
      <c r="Q18" s="6" t="s">
        <v>79</v>
      </c>
      <c r="R18" s="6" t="str">
        <f>IF(A18="","","INSERT INTO COTDL.TBL_PIIKEYMAP"&amp;IF(AND(COUNTIF(H:H,H18)&gt;1,I18&lt;999),"_TMP","")&amp;"(KEYMAP_ID, DB, KEY_NAME, BASEDATE, CUSTID, VAL1, EXPECTED_ARC_DEL_DATE) ")</f>
        <v xml:space="preserve">INSERT INTO COTDL.TBL_PIIKEYMAP(KEYMAP_ID, DB, KEY_NAME, BASEDATE, CUSTID, VAL1, EXPECTED_ARC_DEL_DATE) </v>
      </c>
      <c r="S18" s="6" t="str">
        <f>"SELECT "&amp;IF(I18=999,"DISTINCT ","")&amp;"''"&amp;D17&amp;"'',''"&amp;K18&amp;"'',''"&amp;E18&amp;"'', TO_DATE(''#BASEDATE'',''yyyy/mm/dd''),"&amp;IF(I18=999," A.CUSTID, A.VAL1"&amp;IF(IFERROR(MID(J17&amp;","&amp;",",FIND(",",J17&amp;","&amp;",",1)+1,FIND(",",J17&amp;","&amp;",",FIND(",",J17&amp;","&amp;",",1)+1)-FIND(",",J17&amp;","&amp;",",1)-1),"")="","",", A.VAL2")&amp;IF(IFERROR(MID(J17&amp;",",FIND(",",J17&amp;",",FIND(",",J17&amp;",",1)+1)+1,FIND(",",J17&amp;",",FIND(",",J17&amp;",",FIND(",",J17&amp;",",1)+1)+1)-FIND(",",J17&amp;",",FIND(",",J17&amp;",",1)+1)-1),"")="","",", A.VAL3")&amp;IF(IFERROR(SUBSTITUTE(MID(J17&amp;",",FIND(",",J17&amp;",",FIND(",",J17&amp;",",FIND(",",J17&amp;",",1)+1)+1)+1,LEN(J17)),",",""),"")="","",", A.VAL4")&amp;""," B.CUSTID, A."&amp;SUBSTITUTE(J18,",",", A."))&amp;" , EXPECTED_ARC_DEL_DATE FROM "&amp;IF(I18=999, "COTDL.TBL_PIIKEYMAP_TMP A",L18&amp;"."&amp;M18&amp;" A, COTDL.TBL_PIIKEYMAP B")&amp;" WHERE" &amp;" "&amp; IF(I18=999,"DB = ''"&amp;K18&amp;"'' AND KEY_NAME = ''"&amp;E18&amp;"'' AND KEYMAP_ID = ''#KEYMAP_ID'' AND BASEDATE =TO_DATE(''#BASEDATE'',''yyyy/mm/dd'')", " "&amp;SUBSTITUTE(VLOOKUP(O18,E:T,16,FALSE),"#WHERECOL1",N18))</f>
        <v>SELECT ''PII_POLICY3_CORE'',''DAON'',''KEY_SINID'', TO_DATE(''#BASEDATE'',''yyyy/mm/dd''), B.CUSTID, A.SINID , EXPECTED_ARC_DEL_DATE FROM COOWNSER.SINDOSBIMITRRUB A, COTDL.TBL_PIIKEYMAP B WHERE  B.KEY_NAME = ''KEY_DOSID'' AND B.KEYMAP_ID = ''#KEYMAP_ID'' AND B.BASEDATE = TO_DATE(''#BASEDATE'',''yyyy/mm/dd'') AND A.DOSID = B.VAL1</v>
      </c>
      <c r="T18" s="6" t="str">
        <f t="shared" si="1"/>
        <v>B.KEY_NAME = ''KEY_SINID'' AND B.KEYMAP_ID = ''#KEYMAP_ID'' AND B.BASEDATE = TO_DATE(''#BASEDATE'',''yyyy/mm/dd'') AND A.#WHERECOL1 = B.VAL1</v>
      </c>
      <c r="U18" s="16" t="str">
        <f t="shared" si="2"/>
        <v>INSERT INTO COTDL.TBL_PIISTEPTABLE VALUES('PII_POLICY3_DAON_CORE_DELETE','1','GEN_KEYMAP','DAON','COOWNSER','SINDOSBIMITRRUB',NULL, NULL,'KEYMAP',NULL,NULL,NULL,NULL,'10','1400','1',NULL,'SIN번호','DOSID','KEY_DOSID','4',NULL,'SELECT ''PII_POLICY3_CORE'',''DAON'',''KEY_SINID'', TO_DATE(''#BASEDATE'',''yyyy/mm/dd''), B.CUSTID, A.SINID , EXPECTED_ARC_DEL_DATE FROM COOWNSER.SINDOSBIMITRRUB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''PII_POLICY3_CORE'',''DAON'',''KEY_SINID'', TO_DATE(''#BASEDATE'',''yyyy/mm/dd''), B.CUSTID, A.SINID , EXPECTED_ARC_DEL_DATE FROM COOWNSER.SINDOSBIMITRRUB A, COTDL.TBL_PIIKEYMAP B WHERE  B.KEY_NAME = ''KEY_DOSID'' AND B.KEYMAP_ID = ''#KEYMAP_ID'' AND B.BASEDATE = TO_DATE(''#BASEDATE'',''yyyy/mm/dd'') AND A.DOSID = B.VAL1','PII_POLICY3_CORE','KEY_SINID','SINID','B.KEY_NAME = ''KEY_SINID'' AND B.KEYMAP_ID = ''#KEYMAP_ID'' AND B.BASEDATE = TO_DATE(''#BASEDATE'',''yyyy/mm/dd'') AND A.#WHERECOL1 = B.VAL1','AUTO',now(),now(),'member_it','member_it');</v>
      </c>
    </row>
    <row r="19" spans="1:21" s="7" customFormat="1" ht="13.5" x14ac:dyDescent="0.3">
      <c r="A19" s="11" t="s">
        <v>134</v>
      </c>
      <c r="B19" s="6" t="s">
        <v>24</v>
      </c>
      <c r="C19" s="6" t="s">
        <v>25</v>
      </c>
      <c r="D19" s="11" t="s">
        <v>136</v>
      </c>
      <c r="E19" s="6" t="s">
        <v>48</v>
      </c>
      <c r="F19" s="6" t="s">
        <v>105</v>
      </c>
      <c r="G19" s="6">
        <v>10</v>
      </c>
      <c r="H19" s="6">
        <f t="shared" si="0"/>
        <v>1500</v>
      </c>
      <c r="I19" s="6">
        <v>1</v>
      </c>
      <c r="J19" s="6" t="s">
        <v>49</v>
      </c>
      <c r="K19" s="6" t="s">
        <v>135</v>
      </c>
      <c r="L19" s="6" t="s">
        <v>86</v>
      </c>
      <c r="M19" s="6" t="s">
        <v>87</v>
      </c>
      <c r="N19" s="6" t="s">
        <v>19</v>
      </c>
      <c r="O19" s="6" t="s">
        <v>20</v>
      </c>
      <c r="P19" s="6">
        <v>4</v>
      </c>
      <c r="Q19" s="6" t="s">
        <v>79</v>
      </c>
      <c r="R19" s="6" t="str">
        <f>IF(A19="","","INSERT INTO COTDL.TBL_PIIKEYMAP"&amp;IF(AND(COUNTIF(H:H,H19)&gt;1,I19&lt;999),"_TMP","")&amp;"(KEYMAP_ID, DB, KEY_NAME, BASEDATE, CUSTID, VAL1, EXPECTED_ARC_DEL_DATE) ")</f>
        <v xml:space="preserve">INSERT INTO COTDL.TBL_PIIKEYMAP(KEYMAP_ID, DB, KEY_NAME, BASEDATE, CUSTID, VAL1, EXPECTED_ARC_DEL_DATE) </v>
      </c>
      <c r="S19" s="6" t="str">
        <f>"SELECT "&amp;IF(I19=999,"DISTINCT ","")&amp;"''"&amp;D18&amp;"'',''"&amp;K19&amp;"'',''"&amp;E19&amp;"'', TO_DATE(''#BASEDATE'',''yyyy/mm/dd''),"&amp;IF(I19=999," A.CUSTID, A.VAL1"&amp;IF(IFERROR(MID(J18&amp;","&amp;",",FIND(",",J18&amp;","&amp;",",1)+1,FIND(",",J18&amp;","&amp;",",FIND(",",J18&amp;","&amp;",",1)+1)-FIND(",",J18&amp;","&amp;",",1)-1),"")="","",", A.VAL2")&amp;IF(IFERROR(MID(J18&amp;",",FIND(",",J18&amp;",",FIND(",",J18&amp;",",1)+1)+1,FIND(",",J18&amp;",",FIND(",",J18&amp;",",FIND(",",J18&amp;",",1)+1)+1)-FIND(",",J18&amp;",",FIND(",",J18&amp;",",1)+1)-1),"")="","",", A.VAL3")&amp;IF(IFERROR(SUBSTITUTE(MID(J18&amp;",",FIND(",",J18&amp;",",FIND(",",J18&amp;",",FIND(",",J18&amp;",",1)+1)+1)+1,LEN(J18)),",",""),"")="","",", A.VAL4")&amp;""," B.CUSTID, A."&amp;SUBSTITUTE(J19,",",", A."))&amp;" , EXPECTED_ARC_DEL_DATE FROM "&amp;IF(I19=999, "COTDL.TBL_PIIKEYMAP_TMP A",L19&amp;"."&amp;M19&amp;" A, COTDL.TBL_PIIKEYMAP B")&amp;" WHERE" &amp;" "&amp; IF(I19=999,"DB = ''"&amp;K19&amp;"'' AND KEY_NAME = ''"&amp;E19&amp;"'' AND KEYMAP_ID = ''#KEYMAP_ID'' AND BASEDATE =TO_DATE(''#BASEDATE'',''yyyy/mm/dd'')", " "&amp;SUBSTITUTE(VLOOKUP(O19,E:T,16,FALSE),"#WHERECOL1",N19))</f>
        <v>SELECT ''PII_POLICY3_CORE'',''DAON'',''KEY_TPVID'', TO_DATE(''#BASEDATE'',''yyyy/mm/dd''), B.CUSTID, A.TPVID , EXPECTED_ARC_DEL_DATE FROM COOWNSER.DOSACTTELVIRTUAL A, COTDL.TBL_PIIKEYMAP B WHERE  B.KEY_NAME = ''KEY_DOSID'' AND B.KEYMAP_ID = ''#KEYMAP_ID'' AND B.BASEDATE = TO_DATE(''#BASEDATE'',''yyyy/mm/dd'') AND A.DOSID = B.VAL1</v>
      </c>
      <c r="T19" s="6" t="str">
        <f t="shared" si="1"/>
        <v>B.KEY_NAME = ''KEY_TPVID'' AND B.KEYMAP_ID = ''#KEYMAP_ID'' AND B.BASEDATE = TO_DATE(''#BASEDATE'',''yyyy/mm/dd'') AND A.#WHERECOL1 = B.VAL1</v>
      </c>
      <c r="U19" s="16" t="str">
        <f t="shared" si="2"/>
        <v>INSERT INTO COTDL.TBL_PIISTEPTABLE VALUES('PII_POLICY3_DAON_CORE_DELETE','1','GEN_KEYMAP','DAON','COOWNSER','DOSACTTELVIRTUAL',NULL, NULL,'KEYMAP',NULL,NULL,NULL,NULL,'10','1500','1',NULL,'TPV번호','DOSID','KEY_DOSID','4',NULL,'SELECT ''PII_POLICY3_CORE'',''DAON'',''KEY_TPVID'', TO_DATE(''#BASEDATE'',''yyyy/mm/dd''), B.CUSTID, A.TPVID , EXPECTED_ARC_DEL_DATE FROM COOWNSER.DOSACTTELVIRTUAL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''PII_POLICY3_CORE'',''DAON'',''KEY_TPVID'', TO_DATE(''#BASEDATE'',''yyyy/mm/dd''), B.CUSTID, A.TPVID , EXPECTED_ARC_DEL_DATE FROM COOWNSER.DOSACTTELVIRTUAL A, COTDL.TBL_PIIKEYMAP B WHERE  B.KEY_NAME = ''KEY_DOSID'' AND B.KEYMAP_ID = ''#KEYMAP_ID'' AND B.BASEDATE = TO_DATE(''#BASEDATE'',''yyyy/mm/dd'') AND A.DOSID = B.VAL1','PII_POLICY3_CORE','KEY_TPVID','TPVID','B.KEY_NAME = ''KEY_TPVID'' AND B.KEYMAP_ID = ''#KEYMAP_ID'' AND B.BASEDATE = TO_DATE(''#BASEDATE'',''yyyy/mm/dd'') AND A.#WHERECOL1 = B.VAL1','AUTO',now(),now(),'member_it','member_it');</v>
      </c>
    </row>
    <row r="20" spans="1:21" s="7" customFormat="1" ht="13.5" x14ac:dyDescent="0.3">
      <c r="A20" s="11" t="s">
        <v>134</v>
      </c>
      <c r="B20" s="6" t="s">
        <v>24</v>
      </c>
      <c r="C20" s="6" t="s">
        <v>25</v>
      </c>
      <c r="D20" s="11" t="s">
        <v>136</v>
      </c>
      <c r="E20" s="6" t="s">
        <v>50</v>
      </c>
      <c r="F20" s="6" t="s">
        <v>106</v>
      </c>
      <c r="G20" s="6">
        <v>10</v>
      </c>
      <c r="H20" s="6">
        <f t="shared" si="0"/>
        <v>1600</v>
      </c>
      <c r="I20" s="6">
        <v>100</v>
      </c>
      <c r="J20" s="6" t="s">
        <v>51</v>
      </c>
      <c r="K20" s="6" t="s">
        <v>135</v>
      </c>
      <c r="L20" s="6" t="s">
        <v>86</v>
      </c>
      <c r="M20" s="6" t="s">
        <v>88</v>
      </c>
      <c r="N20" s="6" t="s">
        <v>83</v>
      </c>
      <c r="O20" s="6" t="s">
        <v>20</v>
      </c>
      <c r="P20" s="6">
        <v>4</v>
      </c>
      <c r="Q20" s="6" t="s">
        <v>79</v>
      </c>
      <c r="R20" s="6" t="str">
        <f>IF(A20="","","INSERT INTO COTDL.TBL_PIIKEYMAP"&amp;IF(AND(COUNTIF(H:H,H20)&gt;1,I20&lt;999),"_TMP","")&amp;"(KEYMAP_ID, DB, KEY_NAME, BASEDATE, CUSTID, VAL1, EXPECTED_ARC_DEL_DATE) ")</f>
        <v xml:space="preserve">INSERT INTO COTDL.TBL_PIIKEYMAP_TMP(KEYMAP_ID, DB, KEY_NAME, BASEDATE, CUSTID, VAL1, EXPECTED_ARC_DEL_DATE) </v>
      </c>
      <c r="S20" s="6" t="str">
        <f>"SELECT "&amp;IF(I20=999,"DISTINCT ","")&amp;"''"&amp;D19&amp;"'',''"&amp;K20&amp;"'',''"&amp;E20&amp;"'', TO_DATE(''#BASEDATE'',''yyyy/mm/dd''),"&amp;IF(I20=999," A.CUSTID, A.VAL1"&amp;IF(IFERROR(MID(J19&amp;","&amp;",",FIND(",",J19&amp;","&amp;",",1)+1,FIND(",",J19&amp;","&amp;",",FIND(",",J19&amp;","&amp;",",1)+1)-FIND(",",J19&amp;","&amp;",",1)-1),"")="","",", A.VAL2")&amp;IF(IFERROR(MID(J19&amp;",",FIND(",",J19&amp;",",FIND(",",J19&amp;",",1)+1)+1,FIND(",",J19&amp;",",FIND(",",J19&amp;",",FIND(",",J19&amp;",",1)+1)+1)-FIND(",",J19&amp;",",FIND(",",J19&amp;",",1)+1)-1),"")="","",", A.VAL3")&amp;IF(IFERROR(SUBSTITUTE(MID(J19&amp;",",FIND(",",J19&amp;",",FIND(",",J19&amp;",",FIND(",",J19&amp;",",1)+1)+1)+1,LEN(J19)),",",""),"")="","",", A.VAL4")&amp;""," B.CUSTID, A."&amp;SUBSTITUTE(J20,",",", A."))&amp;" , EXPECTED_ARC_DEL_DATE FROM "&amp;IF(I20=999, "COTDL.TBL_PIIKEYMAP_TMP A",L20&amp;"."&amp;M20&amp;" A, COTDL.TBL_PIIKEYMAP B")&amp;" WHERE" &amp;" "&amp; IF(I20=999,"DB = ''"&amp;K20&amp;"'' AND KEY_NAME = ''"&amp;E20&amp;"'' AND KEYMAP_ID = ''#KEYMAP_ID'' AND BASEDATE =TO_DATE(''#BASEDATE'',''yyyy/mm/dd'')", " "&amp;SUBSTITUTE(VLOOKUP(O20,E:T,16,FALSE),"#WHERECOL1",N20))</f>
        <v>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 = B.VAL1</v>
      </c>
      <c r="T20" s="6" t="str">
        <f t="shared" si="1"/>
        <v>B.KEY_NAME = ''KEY_CVAID'' AND B.KEYMAP_ID = ''#KEYMAP_ID'' AND B.BASEDATE = TO_DATE(''#BASEDATE'',''yyyy/mm/dd'') AND A.#WHERECOL1 = B.VAL1</v>
      </c>
      <c r="U20" s="16" t="str">
        <f t="shared" si="2"/>
        <v>INSERT INTO COTDL.TBL_PIISTEPTABLE VALUES('PII_POLICY3_DAON_CORE_DELETE','1','GEN_KEYMAP','DAON','COOWNSER','CCHVALUE',NULL, NULL,'KEYMAP',NULL,NULL,NULL,NULL,'10','1600','100',NULL,'CVA번호','DOSID','KEY_DOSID','4',NULL,'SELECT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 = B.VAL1','INSERT INTO COTDL.TBL_PIIKEYMAP_TMP(KEYMAP_ID, DB, KEY_NAME, BASEDATE, CUSTID, VAL1, EXPECTED_ARC_DEL_DATE) 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 = B.VAL1','PII_POLICY3_CORE','KEY_CVAID','CVAID','B.KEY_NAME = ''KEY_CVAID'' AND B.KEYMAP_ID = ''#KEYMAP_ID'' AND B.BASEDATE = TO_DATE(''#BASEDATE'',''yyyy/mm/dd'') AND A.#WHERECOL1 = B.VAL1','AUTO',now(),now(),'member_it','member_it');</v>
      </c>
    </row>
    <row r="21" spans="1:21" s="7" customFormat="1" ht="13.5" x14ac:dyDescent="0.3">
      <c r="A21" s="11" t="s">
        <v>134</v>
      </c>
      <c r="B21" s="6" t="s">
        <v>24</v>
      </c>
      <c r="C21" s="6" t="s">
        <v>25</v>
      </c>
      <c r="D21" s="11" t="s">
        <v>136</v>
      </c>
      <c r="E21" s="6" t="s">
        <v>50</v>
      </c>
      <c r="F21" s="6" t="s">
        <v>106</v>
      </c>
      <c r="G21" s="6">
        <v>10</v>
      </c>
      <c r="H21" s="6">
        <f t="shared" si="0"/>
        <v>1600</v>
      </c>
      <c r="I21" s="6">
        <v>110</v>
      </c>
      <c r="J21" s="6" t="s">
        <v>51</v>
      </c>
      <c r="K21" s="6" t="s">
        <v>135</v>
      </c>
      <c r="L21" s="6" t="s">
        <v>86</v>
      </c>
      <c r="M21" s="6" t="s">
        <v>88</v>
      </c>
      <c r="N21" s="6" t="s">
        <v>39</v>
      </c>
      <c r="O21" s="6" t="s">
        <v>20</v>
      </c>
      <c r="P21" s="6">
        <v>4</v>
      </c>
      <c r="Q21" s="6" t="s">
        <v>79</v>
      </c>
      <c r="R21" s="6" t="str">
        <f>IF(A21="","","INSERT INTO COTDL.TBL_PIIKEYMAP"&amp;IF(AND(COUNTIF(H:H,H21)&gt;1,I21&lt;999),"_TMP","")&amp;"(KEYMAP_ID, DB, KEY_NAME, BASEDATE, CUSTID, VAL1, EXPECTED_ARC_DEL_DATE) ")</f>
        <v xml:space="preserve">INSERT INTO COTDL.TBL_PIIKEYMAP_TMP(KEYMAP_ID, DB, KEY_NAME, BASEDATE, CUSTID, VAL1, EXPECTED_ARC_DEL_DATE) </v>
      </c>
      <c r="S21" s="6" t="str">
        <f>"SELECT "&amp;IF(I21=999,"DISTINCT ","")&amp;"''"&amp;D20&amp;"'',''"&amp;K21&amp;"'',''"&amp;E21&amp;"'', TO_DATE(''#BASEDATE'',''yyyy/mm/dd''),"&amp;IF(I21=999," A.CUSTID, A.VAL1"&amp;IF(IFERROR(MID(J20&amp;","&amp;",",FIND(",",J20&amp;","&amp;",",1)+1,FIND(",",J20&amp;","&amp;",",FIND(",",J20&amp;","&amp;",",1)+1)-FIND(",",J20&amp;","&amp;",",1)-1),"")="","",", A.VAL2")&amp;IF(IFERROR(MID(J20&amp;",",FIND(",",J20&amp;",",FIND(",",J20&amp;",",1)+1)+1,FIND(",",J20&amp;",",FIND(",",J20&amp;",",FIND(",",J20&amp;",",1)+1)+1)-FIND(",",J20&amp;",",FIND(",",J20&amp;",",1)+1)-1),"")="","",", A.VAL3")&amp;IF(IFERROR(SUBSTITUTE(MID(J20&amp;",",FIND(",",J20&amp;",",FIND(",",J20&amp;",",FIND(",",J20&amp;",",1)+1)+1)+1,LEN(J20)),",",""),"")="","",", A.VAL4")&amp;""," B.CUSTID, A."&amp;SUBSTITUTE(J21,",",", A."))&amp;" , EXPECTED_ARC_DEL_DATE FROM "&amp;IF(I21=999, "COTDL.TBL_PIIKEYMAP_TMP A",L21&amp;"."&amp;M21&amp;" A, COTDL.TBL_PIIKEYMAP B")&amp;" WHERE" &amp;" "&amp; IF(I21=999,"DB = ''"&amp;K21&amp;"'' AND KEY_NAME = ''"&amp;E21&amp;"'' AND KEYMAP_ID = ''#KEYMAP_ID'' AND BASEDATE =TO_DATE(''#BASEDATE'',''yyyy/mm/dd'')", " "&amp;SUBSTITUTE(VLOOKUP(O21,E:T,16,FALSE),"#WHERECOL1",N21))</f>
        <v>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A.DOSIDPROSPECT = B.VAL1</v>
      </c>
      <c r="T21" s="6" t="str">
        <f t="shared" si="1"/>
        <v>B.KEY_NAME = ''KEY_CVAID'' AND B.KEYMAP_ID = ''#KEYMAP_ID'' AND B.BASEDATE = TO_DATE(''#BASEDATE'',''yyyy/mm/dd'') AND A.#WHERECOL1 = B.VAL1</v>
      </c>
      <c r="U21" s="16" t="str">
        <f t="shared" si="2"/>
        <v>INSERT INTO COTDL.TBL_PIISTEPTABLE VALUES('PII_POLICY3_DAON_CORE_DELETE','1','GEN_KEYMAP','DAON','COOWNSER','CCHVALUE',NULL, NULL,'KEYMAP',NULL,NULL,NULL,NULL,'10','1600','110',NULL,'CVA번호','DOSIDPROSPECT','KEY_DOSID','4',NULL,'SELECT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A.DOSIDPROSPECT = B.VAL1','INSERT INTO COTDL.TBL_PIIKEYMAP_TMP(KEYMAP_ID, DB, KEY_NAME, BASEDATE, CUSTID, VAL1, EXPECTED_ARC_DEL_DATE) SELECT ''PII_POLICY3_CORE'',''DAON'',''KEY_CVAID'', TO_DATE(''#BASEDATE'',''yyyy/mm/dd''), B.CUSTID, A.CVAID , EXPECTED_ARC_DEL_DATE FROM COOWNSER.CCHVALUE A, COTDL.TBL_PIIKEYMAP B WHERE  B.KEY_NAME = ''KEY_DOSID'' AND B.KEYMAP_ID = ''#KEYMAP_ID'' AND B.BASEDATE = TO_DATE(''#BASEDATE'',''yyyy/mm/dd'') AND A.DOSIDPROSPECT = B.VAL1','PII_POLICY3_CORE','KEY_CVAID','CVAID','B.KEY_NAME = ''KEY_CVAID'' AND B.KEYMAP_ID = ''#KEYMAP_ID'' AND B.BASEDATE = TO_DATE(''#BASEDATE'',''yyyy/mm/dd'') AND A.#WHERECOL1 = B.VAL1','AUTO',now(),now(),'member_it','member_it');</v>
      </c>
    </row>
    <row r="22" spans="1:21" s="7" customFormat="1" ht="13.5" x14ac:dyDescent="0.3">
      <c r="A22" s="11" t="s">
        <v>134</v>
      </c>
      <c r="B22" s="6" t="s">
        <v>24</v>
      </c>
      <c r="C22" s="6" t="s">
        <v>25</v>
      </c>
      <c r="D22" s="11" t="s">
        <v>136</v>
      </c>
      <c r="E22" s="6" t="s">
        <v>50</v>
      </c>
      <c r="F22" s="6" t="s">
        <v>106</v>
      </c>
      <c r="G22" s="6">
        <v>10</v>
      </c>
      <c r="H22" s="6">
        <f t="shared" si="0"/>
        <v>1600</v>
      </c>
      <c r="I22" s="6">
        <v>120</v>
      </c>
      <c r="J22" s="6" t="s">
        <v>51</v>
      </c>
      <c r="K22" s="6" t="s">
        <v>135</v>
      </c>
      <c r="L22" s="6" t="s">
        <v>86</v>
      </c>
      <c r="M22" s="6" t="s">
        <v>88</v>
      </c>
      <c r="N22" s="6" t="s">
        <v>78</v>
      </c>
      <c r="O22" s="6" t="s">
        <v>18</v>
      </c>
      <c r="P22" s="6">
        <v>4</v>
      </c>
      <c r="Q22" s="6" t="s">
        <v>79</v>
      </c>
      <c r="R22" s="6" t="str">
        <f>IF(A22="","","INSERT INTO COTDL.TBL_PIIKEYMAP"&amp;IF(AND(COUNTIF(H:H,H22)&gt;1,I22&lt;999),"_TMP","")&amp;"(KEYMAP_ID, DB, KEY_NAME, BASEDATE, CUSTID, VAL1, EXPECTED_ARC_DEL_DATE) ")</f>
        <v xml:space="preserve">INSERT INTO COTDL.TBL_PIIKEYMAP_TMP(KEYMAP_ID, DB, KEY_NAME, BASEDATE, CUSTID, VAL1, EXPECTED_ARC_DEL_DATE) </v>
      </c>
      <c r="S22" s="6" t="str">
        <f>"SELECT "&amp;IF(I22=999,"DISTINCT ","")&amp;"''"&amp;D21&amp;"'',''"&amp;K22&amp;"'',''"&amp;E22&amp;"'', TO_DATE(''#BASEDATE'',''yyyy/mm/dd''),"&amp;IF(I22=999," A.CUSTID, A.VAL1"&amp;IF(IFERROR(MID(J21&amp;","&amp;",",FIND(",",J21&amp;","&amp;",",1)+1,FIND(",",J21&amp;","&amp;",",FIND(",",J21&amp;","&amp;",",1)+1)-FIND(",",J21&amp;","&amp;",",1)-1),"")="","",", A.VAL2")&amp;IF(IFERROR(MID(J21&amp;",",FIND(",",J21&amp;",",FIND(",",J21&amp;",",1)+1)+1,FIND(",",J21&amp;",",FIND(",",J21&amp;",",FIND(",",J21&amp;",",1)+1)+1)-FIND(",",J21&amp;",",FIND(",",J21&amp;",",1)+1)-1),"")="","",", A.VAL3")&amp;IF(IFERROR(SUBSTITUTE(MID(J21&amp;",",FIND(",",J21&amp;",",FIND(",",J21&amp;",",FIND(",",J21&amp;",",1)+1)+1)+1,LEN(J21)),",",""),"")="","",", A.VAL4")&amp;""," B.CUSTID, A."&amp;SUBSTITUTE(J22,",",", A."))&amp;" , EXPECTED_ARC_DEL_DATE FROM "&amp;IF(I22=999, "COTDL.TBL_PIIKEYMAP_TMP A",L22&amp;"."&amp;M22&amp;" A, COTDL.TBL_PIIKEYMAP B")&amp;" WHERE" &amp;" "&amp; IF(I22=999,"DB = ''"&amp;K22&amp;"'' AND KEY_NAME = ''"&amp;E22&amp;"'' AND KEYMAP_ID = ''#KEYMAP_ID'' AND BASEDATE =TO_DATE(''#BASEDATE'',''yyyy/mm/dd'')", " "&amp;SUBSTITUTE(VLOOKUP(O22,E:T,16,FALSE),"#WHERECOL1",N22))</f>
        <v>SELECT ''PII_POLICY3_CORE'',''DAON'',''KEY_CVAID'', TO_DATE(''#BASEDATE'',''yyyy/mm/dd''), B.CUSTID, A.CVAID , EXPECTED_ARC_DEL_DATE FROM COOWNSER.CCHVALUE A, COTDL.TBL_PIIKEYMAP B WHERE  B.KEY_NAME = ''KEY_ACTID'' AND B.KEYMAP_ID = ''#KEYMAP_ID'' AND B.BASEDATE = TO_DATE(''#BASEDATE'',''yyyy/mm/dd'') AND A.ACTID = B.VAL1</v>
      </c>
      <c r="T22" s="6" t="str">
        <f t="shared" si="1"/>
        <v>B.KEY_NAME = ''KEY_CVAID'' AND B.KEYMAP_ID = ''#KEYMAP_ID'' AND B.BASEDATE = TO_DATE(''#BASEDATE'',''yyyy/mm/dd'') AND A.#WHERECOL1 = B.VAL1</v>
      </c>
      <c r="U22" s="16" t="str">
        <f t="shared" si="2"/>
        <v>INSERT INTO COTDL.TBL_PIISTEPTABLE VALUES('PII_POLICY3_DAON_CORE_DELETE','1','GEN_KEYMAP','DAON','COOWNSER','CCHVALUE',NULL, NULL,'KEYMAP',NULL,NULL,NULL,NULL,'10','1600','120',NULL,'CVA번호','ACTID','KEY_ACTID','4',NULL,'SELECT ''PII_POLICY3_CORE'',''DAON'',''KEY_CVAID'', TO_DATE(''#BASEDATE'',''yyyy/mm/dd''), B.CUSTID, A.CVAID , EXPECTED_ARC_DEL_DATE FROM COOWNSER.CCHVALUE A, COTDL.TBL_PIIKEYMAP B WHERE  B.KEY_NAME = ''KEY_ACTID'' AND B.KEYMAP_ID = ''#KEYMAP_ID'' AND B.BASEDATE = TO_DATE(''#BASEDATE'',''yyyy/mm/dd'') AND A.ACTID = B.VAL1','INSERT INTO COTDL.TBL_PIIKEYMAP_TMP(KEYMAP_ID, DB, KEY_NAME, BASEDATE, CUSTID, VAL1, EXPECTED_ARC_DEL_DATE) SELECT ''PII_POLICY3_CORE'',''DAON'',''KEY_CVAID'', TO_DATE(''#BASEDATE'',''yyyy/mm/dd''), B.CUSTID, A.CVAID , EXPECTED_ARC_DEL_DATE FROM COOWNSER.CCHVALUE A, COTDL.TBL_PIIKEYMAP B WHERE  B.KEY_NAME = ''KEY_ACTID'' AND B.KEYMAP_ID = ''#KEYMAP_ID'' AND B.BASEDATE = TO_DATE(''#BASEDATE'',''yyyy/mm/dd'') AND A.ACTID = B.VAL1','PII_POLICY3_CORE','KEY_CVAID','CVAID','B.KEY_NAME = ''KEY_CVAID'' AND B.KEYMAP_ID = ''#KEYMAP_ID'' AND B.BASEDATE = TO_DATE(''#BASEDATE'',''yyyy/mm/dd'') AND A.#WHERECOL1 = B.VAL1','AUTO',now(),now(),'member_it','member_it');</v>
      </c>
    </row>
    <row r="23" spans="1:21" s="7" customFormat="1" ht="13.5" x14ac:dyDescent="0.3">
      <c r="A23" s="11" t="s">
        <v>134</v>
      </c>
      <c r="B23" s="6" t="s">
        <v>24</v>
      </c>
      <c r="C23" s="6" t="s">
        <v>25</v>
      </c>
      <c r="D23" s="11" t="s">
        <v>136</v>
      </c>
      <c r="E23" s="6" t="s">
        <v>50</v>
      </c>
      <c r="F23" s="6" t="s">
        <v>106</v>
      </c>
      <c r="G23" s="6">
        <v>10</v>
      </c>
      <c r="H23" s="6">
        <f t="shared" si="0"/>
        <v>1600</v>
      </c>
      <c r="I23" s="6">
        <v>999</v>
      </c>
      <c r="J23" s="6" t="s">
        <v>51</v>
      </c>
      <c r="K23" s="6" t="s">
        <v>135</v>
      </c>
      <c r="L23" s="6" t="s">
        <v>75</v>
      </c>
      <c r="M23" s="6" t="s">
        <v>81</v>
      </c>
      <c r="N23" s="6"/>
      <c r="O23" s="6" t="s">
        <v>12</v>
      </c>
      <c r="P23" s="6">
        <v>4</v>
      </c>
      <c r="Q23" s="6" t="s">
        <v>79</v>
      </c>
      <c r="R23" s="6" t="str">
        <f>IF(A23="","","INSERT INTO COTDL.TBL_PIIKEYMAP"&amp;IF(AND(COUNTIF(H:H,H23)&gt;1,I23&lt;999),"_TMP","")&amp;"(KEYMAP_ID, DB, KEY_NAME, BASEDATE, CUSTID, VAL1, EXPECTED_ARC_DEL_DATE) ")</f>
        <v xml:space="preserve">INSERT INTO COTDL.TBL_PIIKEYMAP(KEYMAP_ID, DB, KEY_NAME, BASEDATE, CUSTID, VAL1, EXPECTED_ARC_DEL_DATE) </v>
      </c>
      <c r="S23" s="6" t="str">
        <f>"SELECT "&amp;IF(I23=999,"DISTINCT ","")&amp;"''"&amp;D22&amp;"'',''"&amp;K23&amp;"'',''"&amp;E23&amp;"'', TO_DATE(''#BASEDATE'',''yyyy/mm/dd''),"&amp;IF(I23=999," A.CUSTID, A.VAL1"&amp;IF(IFERROR(MID(J22&amp;","&amp;",",FIND(",",J22&amp;","&amp;",",1)+1,FIND(",",J22&amp;","&amp;",",FIND(",",J22&amp;","&amp;",",1)+1)-FIND(",",J22&amp;","&amp;",",1)-1),"")="","",", A.VAL2")&amp;IF(IFERROR(MID(J22&amp;",",FIND(",",J22&amp;",",FIND(",",J22&amp;",",1)+1)+1,FIND(",",J22&amp;",",FIND(",",J22&amp;",",FIND(",",J22&amp;",",1)+1)+1)-FIND(",",J22&amp;",",FIND(",",J22&amp;",",1)+1)-1),"")="","",", A.VAL3")&amp;IF(IFERROR(SUBSTITUTE(MID(J22&amp;",",FIND(",",J22&amp;",",FIND(",",J22&amp;",",FIND(",",J22&amp;",",1)+1)+1)+1,LEN(J22)),",",""),"")="","",", A.VAL4")&amp;""," B.CUSTID, A."&amp;SUBSTITUTE(J23,",",", A."))&amp;" , EXPECTED_ARC_DEL_DATE FROM "&amp;IF(I23=999, "COTDL.TBL_PIIKEYMAP_TMP A",L23&amp;"."&amp;M23&amp;" A, COTDL.TBL_PIIKEYMAP B")&amp;" WHERE" &amp;" "&amp; IF(I23=999,"DB = ''"&amp;K23&amp;"'' AND KEY_NAME = ''"&amp;E23&amp;"'' AND KEYMAP_ID = ''#KEYMAP_ID'' AND BASEDATE =TO_DATE(''#BASEDATE'',''yyyy/mm/dd'')", " "&amp;SUBSTITUTE(VLOOKUP(O23,E:T,16,FALSE),"#WHERECOL1",N23))</f>
        <v>SELECT DISTINCT ''PII_POLICY3_CORE'',''DAON'',''KEY_CVAID'', TO_DATE(''#BASEDATE'',''yyyy/mm/dd''), A.CUSTID, A.VAL1 , EXPECTED_ARC_DEL_DATE FROM COTDL.TBL_PIIKEYMAP_TMP A WHERE DB = ''DAON'' AND KEY_NAME = ''KEY_CVAID'' AND KEYMAP_ID = ''#KEYMAP_ID'' AND BASEDATE =TO_DATE(''#BASEDATE'',''yyyy/mm/dd'')</v>
      </c>
      <c r="T23" s="6" t="str">
        <f t="shared" si="1"/>
        <v>B.KEY_NAME = ''KEY_CVAID'' AND B.KEYMAP_ID = ''#KEYMAP_ID'' AND B.BASEDATE = TO_DATE(''#BASEDATE'',''yyyy/mm/dd'') AND A.#WHERECOL1 = B.VAL1</v>
      </c>
      <c r="U23" s="16" t="str">
        <f t="shared" si="2"/>
        <v>INSERT INTO COTDL.TBL_PIISTEPTABLE VALUES('PII_POLICY3_DAON_CORE_DELETE','1','GEN_KEYMAP','DAON','COTDL','TBL_PIIKEYMAP_TMP',NULL, NULL,'KEYMAP',NULL,NULL,NULL,NULL,'10','1600','999',NULL,'CVA번호','','','4',NULL,'SELECT DISTINCT ''PII_POLICY3_CORE'',''DAON'',''KEY_CVAID'', TO_DATE(''#BASEDATE'',''yyyy/mm/dd''), A.CUSTID, A.VAL1 , EXPECTED_ARC_DEL_DATE FROM COTDL.TBL_PIIKEYMAP_TMP A WHERE DB = ''DAON'' AND KEY_NAME = ''KEY_CVAID'' AND KEYMAP_ID = ''#KEYMAP_ID'' AND BASEDATE =TO_DATE(''#BASEDATE'',''yyyy/mm/dd'')','INSERT INTO COTDL.TBL_PIIKEYMAP(KEYMAP_ID, DB, KEY_NAME, BASEDATE, CUSTID, VAL1, EXPECTED_ARC_DEL_DATE) SELECT DISTINCT ''PII_POLICY3_CORE'',''DAON'',''KEY_CVAID'', TO_DATE(''#BASEDATE'',''yyyy/mm/dd''), A.CUSTID, A.VAL1 , EXPECTED_ARC_DEL_DATE FROM COTDL.TBL_PIIKEYMAP_TMP A WHERE DB = ''DAON'' AND KEY_NAME = ''KEY_CVAID'' AND KEYMAP_ID = ''#KEYMAP_ID'' AND BASEDATE =TO_DATE(''#BASEDATE'',''yyyy/mm/dd'')','PII_POLICY3_CORE','KEY_CVAID','CVAID','B.KEY_NAME = ''KEY_CVAID'' AND B.KEYMAP_ID = ''#KEYMAP_ID'' AND B.BASEDATE = TO_DATE(''#BASEDATE'',''yyyy/mm/dd'') AND A.#WHERECOL1 = B.VAL1','AUTO',now(),now(),'member_it','member_it');</v>
      </c>
    </row>
    <row r="24" spans="1:21" s="7" customFormat="1" ht="13.5" x14ac:dyDescent="0.3">
      <c r="A24" s="11" t="s">
        <v>134</v>
      </c>
      <c r="B24" s="6" t="s">
        <v>24</v>
      </c>
      <c r="C24" s="6" t="s">
        <v>25</v>
      </c>
      <c r="D24" s="11" t="s">
        <v>136</v>
      </c>
      <c r="E24" s="6" t="s">
        <v>53</v>
      </c>
      <c r="F24" s="6" t="s">
        <v>52</v>
      </c>
      <c r="G24" s="6">
        <v>10</v>
      </c>
      <c r="H24" s="6">
        <f t="shared" si="0"/>
        <v>1700</v>
      </c>
      <c r="I24" s="6">
        <v>100</v>
      </c>
      <c r="J24" s="6" t="s">
        <v>54</v>
      </c>
      <c r="K24" s="6" t="s">
        <v>135</v>
      </c>
      <c r="L24" s="6" t="s">
        <v>86</v>
      </c>
      <c r="M24" s="6" t="s">
        <v>89</v>
      </c>
      <c r="N24" s="6" t="s">
        <v>19</v>
      </c>
      <c r="O24" s="6" t="s">
        <v>20</v>
      </c>
      <c r="P24" s="6">
        <v>4</v>
      </c>
      <c r="Q24" s="6" t="s">
        <v>79</v>
      </c>
      <c r="R24" s="6" t="str">
        <f>IF(A24="","","INSERT INTO COTDL.TBL_PIIKEYMAP"&amp;IF(AND(COUNTIF(H:H,H24)&gt;1,I24&lt;999),"_TMP","")&amp;"(KEYMAP_ID, DB, KEY_NAME, BASEDATE, CUSTID, VAL1, EXPECTED_ARC_DEL_DATE) ")</f>
        <v xml:space="preserve">INSERT INTO COTDL.TBL_PIIKEYMAP_TMP(KEYMAP_ID, DB, KEY_NAME, BASEDATE, CUSTID, VAL1, EXPECTED_ARC_DEL_DATE) </v>
      </c>
      <c r="S24" s="6" t="str">
        <f>"SELECT "&amp;IF(I24=999,"DISTINCT ","")&amp;"''"&amp;D23&amp;"'',''"&amp;K24&amp;"'',''"&amp;E24&amp;"'', TO_DATE(''#BASEDATE'',''yyyy/mm/dd''),"&amp;IF(I24=999," A.CUSTID, A.VAL1"&amp;IF(IFERROR(MID(J23&amp;","&amp;",",FIND(",",J23&amp;","&amp;",",1)+1,FIND(",",J23&amp;","&amp;",",FIND(",",J23&amp;","&amp;",",1)+1)-FIND(",",J23&amp;","&amp;",",1)-1),"")="","",", A.VAL2")&amp;IF(IFERROR(MID(J23&amp;",",FIND(",",J23&amp;",",FIND(",",J23&amp;",",1)+1)+1,FIND(",",J23&amp;",",FIND(",",J23&amp;",",FIND(",",J23&amp;",",1)+1)+1)-FIND(",",J23&amp;",",FIND(",",J23&amp;",",1)+1)-1),"")="","",", A.VAL3")&amp;IF(IFERROR(SUBSTITUTE(MID(J23&amp;",",FIND(",",J23&amp;",",FIND(",",J23&amp;",",FIND(",",J23&amp;",",1)+1)+1)+1,LEN(J23)),",",""),"")="","",", A.VAL4")&amp;""," B.CUSTID, A."&amp;SUBSTITUTE(J24,",",", A."))&amp;" , EXPECTED_ARC_DEL_DATE FROM "&amp;IF(I24=999, "COTDL.TBL_PIIKEYMAP_TMP A",L24&amp;"."&amp;M24&amp;" A, COTDL.TBL_PIIKEYMAP B")&amp;" WHERE" &amp;" "&amp; IF(I24=999,"DB = ''"&amp;K24&amp;"'' AND KEY_NAME = ''"&amp;E24&amp;"'' AND KEYMAP_ID = ''#KEYMAP_ID'' AND BASEDATE =TO_DATE(''#BASEDATE'',''yyyy/mm/dd'')", " "&amp;SUBSTITUTE(VLOOKUP(O24,E:T,16,FALSE),"#WHERECOL1",N24))</f>
        <v>SELECT ''PII_POLICY3_CORE'',''DAON'',''KEY_DMAID'', TO_DATE(''#BASEDATE'',''yyyy/mm/dd''), B.CUSTID, A.DMAID , EXPECTED_ARC_DEL_DATE FROM COOWNSER.DOCUMENTMANAGEMENT A, COTDL.TBL_PIIKEYMAP B WHERE  B.KEY_NAME = ''KEY_DOSID'' AND B.KEYMAP_ID = ''#KEYMAP_ID'' AND B.BASEDATE = TO_DATE(''#BASEDATE'',''yyyy/mm/dd'') AND A.DOSID = B.VAL1</v>
      </c>
      <c r="T24" s="6" t="str">
        <f t="shared" si="1"/>
        <v>B.KEY_NAME = ''KEY_DMAID'' AND B.KEYMAP_ID = ''#KEYMAP_ID'' AND B.BASEDATE = TO_DATE(''#BASEDATE'',''yyyy/mm/dd'') AND A.#WHERECOL1 = B.VAL1</v>
      </c>
      <c r="U24" s="16" t="str">
        <f t="shared" si="2"/>
        <v>INSERT INTO COTDL.TBL_PIISTEPTABLE VALUES('PII_POLICY3_DAON_CORE_DELETE','1','GEN_KEYMAP','DAON','COOWNSER','DOCUMENTMANAGEMENT',NULL, NULL,'KEYMAP',NULL,NULL,NULL,NULL,'10','1700','100',NULL,'문서번호','DOSID','KEY_DOSID','4',NULL,'SELECT ''PII_POLICY3_CORE'',''DAON'',''KEY_DMAID'', TO_DATE(''#BASEDATE'',''yyyy/mm/dd''), B.CUSTID, A.DMAID , EXPECTED_ARC_DEL_DATE FROM COOWNSER.DOCUMENTMANAGEMENT A, COTDL.TBL_PIIKEYMAP B WHERE  B.KEY_NAME = ''KEY_DOSID'' AND B.KEYMAP_ID = ''#KEYMAP_ID'' AND B.BASEDATE = TO_DATE(''#BASEDATE'',''yyyy/mm/dd'') AND A.DOSID = B.VAL1','INSERT INTO COTDL.TBL_PIIKEYMAP_TMP(KEYMAP_ID, DB, KEY_NAME, BASEDATE, CUSTID, VAL1, EXPECTED_ARC_DEL_DATE) SELECT ''PII_POLICY3_CORE'',''DAON'',''KEY_DMAID'', TO_DATE(''#BASEDATE'',''yyyy/mm/dd''), B.CUSTID, A.DMAID , EXPECTED_ARC_DEL_DATE FROM COOWNSER.DOCUMENTMANAGEMENT A, COTDL.TBL_PIIKEYMAP B WHERE  B.KEY_NAME = ''KEY_DOSID'' AND B.KEYMAP_ID = ''#KEYMAP_ID'' AND B.BASEDATE = TO_DATE(''#BASEDATE'',''yyyy/mm/dd'') AND A.DOSID = B.VAL1','PII_POLICY3_CORE','KEY_DMAID','DMAID','B.KEY_NAME = ''KEY_DMAID'' AND B.KEYMAP_ID = ''#KEYMAP_ID'' AND B.BASEDATE = TO_DATE(''#BASEDATE'',''yyyy/mm/dd'') AND A.#WHERECOL1 = B.VAL1','AUTO',now(),now(),'member_it','member_it');</v>
      </c>
    </row>
    <row r="25" spans="1:21" s="7" customFormat="1" ht="13.5" x14ac:dyDescent="0.3">
      <c r="A25" s="11" t="s">
        <v>134</v>
      </c>
      <c r="B25" s="6" t="s">
        <v>24</v>
      </c>
      <c r="C25" s="6" t="s">
        <v>25</v>
      </c>
      <c r="D25" s="11" t="s">
        <v>136</v>
      </c>
      <c r="E25" s="6" t="s">
        <v>53</v>
      </c>
      <c r="F25" s="6" t="s">
        <v>52</v>
      </c>
      <c r="G25" s="6">
        <v>10</v>
      </c>
      <c r="H25" s="6">
        <f t="shared" si="0"/>
        <v>1700</v>
      </c>
      <c r="I25" s="6">
        <v>110</v>
      </c>
      <c r="J25" s="6" t="s">
        <v>54</v>
      </c>
      <c r="K25" s="6" t="s">
        <v>135</v>
      </c>
      <c r="L25" s="6" t="s">
        <v>86</v>
      </c>
      <c r="M25" s="6" t="s">
        <v>89</v>
      </c>
      <c r="N25" s="6" t="s">
        <v>17</v>
      </c>
      <c r="O25" s="6" t="s">
        <v>18</v>
      </c>
      <c r="P25" s="6">
        <v>4</v>
      </c>
      <c r="Q25" s="6" t="s">
        <v>79</v>
      </c>
      <c r="R25" s="6" t="str">
        <f>IF(A25="","","INSERT INTO COTDL.TBL_PIIKEYMAP"&amp;IF(AND(COUNTIF(H:H,H25)&gt;1,I25&lt;999),"_TMP","")&amp;"(KEYMAP_ID, DB, KEY_NAME, BASEDATE, CUSTID, VAL1, EXPECTED_ARC_DEL_DATE) ")</f>
        <v xml:space="preserve">INSERT INTO COTDL.TBL_PIIKEYMAP_TMP(KEYMAP_ID, DB, KEY_NAME, BASEDATE, CUSTID, VAL1, EXPECTED_ARC_DEL_DATE) </v>
      </c>
      <c r="S25" s="6" t="str">
        <f>"SELECT "&amp;IF(I25=999,"DISTINCT ","")&amp;"''"&amp;D24&amp;"'',''"&amp;K25&amp;"'',''"&amp;E25&amp;"'', TO_DATE(''#BASEDATE'',''yyyy/mm/dd''),"&amp;IF(I25=999," A.CUSTID, A.VAL1"&amp;IF(IFERROR(MID(J24&amp;","&amp;",",FIND(",",J24&amp;","&amp;",",1)+1,FIND(",",J24&amp;","&amp;",",FIND(",",J24&amp;","&amp;",",1)+1)-FIND(",",J24&amp;","&amp;",",1)-1),"")="","",", A.VAL2")&amp;IF(IFERROR(MID(J24&amp;",",FIND(",",J24&amp;",",FIND(",",J24&amp;",",1)+1)+1,FIND(",",J24&amp;",",FIND(",",J24&amp;",",FIND(",",J24&amp;",",1)+1)+1)-FIND(",",J24&amp;",",FIND(",",J24&amp;",",1)+1)-1),"")="","",", A.VAL3")&amp;IF(IFERROR(SUBSTITUTE(MID(J24&amp;",",FIND(",",J24&amp;",",FIND(",",J24&amp;",",FIND(",",J24&amp;",",1)+1)+1)+1,LEN(J24)),",",""),"")="","",", A.VAL4")&amp;""," B.CUSTID, A."&amp;SUBSTITUTE(J25,",",", A."))&amp;" , EXPECTED_ARC_DEL_DATE FROM "&amp;IF(I25=999, "COTDL.TBL_PIIKEYMAP_TMP A",L25&amp;"."&amp;M25&amp;" A, COTDL.TBL_PIIKEYMAP B")&amp;" WHERE" &amp;" "&amp; IF(I25=999,"DB = ''"&amp;K25&amp;"'' AND KEY_NAME = ''"&amp;E25&amp;"'' AND KEYMAP_ID = ''#KEYMAP_ID'' AND BASEDATE =TO_DATE(''#BASEDATE'',''yyyy/mm/dd'')", " "&amp;SUBSTITUTE(VLOOKUP(O25,E:T,16,FALSE),"#WHERECOL1",N25))</f>
        <v>SELECT ''PII_POLICY3_CORE'',''DAON'',''KEY_DMAID'', TO_DATE(''#BASEDATE'',''yyyy/mm/dd''), B.CUSTID, A.DMAID , EXPECTED_ARC_DEL_DATE FROM COOWNSER.DOCUMENTMANAGEMENT A, COTDL.TBL_PIIKEYMAP B WHERE  B.KEY_NAME = ''KEY_ACTID'' AND B.KEYMAP_ID = ''#KEYMAP_ID'' AND B.BASEDATE = TO_DATE(''#BASEDATE'',''yyyy/mm/dd'') AND A.ACTID = B.VAL1</v>
      </c>
      <c r="T25" s="6" t="str">
        <f t="shared" si="1"/>
        <v>B.KEY_NAME = ''KEY_DMAID'' AND B.KEYMAP_ID = ''#KEYMAP_ID'' AND B.BASEDATE = TO_DATE(''#BASEDATE'',''yyyy/mm/dd'') AND A.#WHERECOL1 = B.VAL1</v>
      </c>
      <c r="U25" s="16" t="str">
        <f t="shared" si="2"/>
        <v>INSERT INTO COTDL.TBL_PIISTEPTABLE VALUES('PII_POLICY3_DAON_CORE_DELETE','1','GEN_KEYMAP','DAON','COOWNSER','DOCUMENTMANAGEMENT',NULL, NULL,'KEYMAP',NULL,NULL,NULL,NULL,'10','1700','110',NULL,'문서번호','ACTID','KEY_ACTID','4',NULL,'SELECT ''PII_POLICY3_CORE'',''DAON'',''KEY_DMAID'', TO_DATE(''#BASEDATE'',''yyyy/mm/dd''), B.CUSTID, A.DMAID , EXPECTED_ARC_DEL_DATE FROM COOWNSER.DOCUMENTMANAGEMENT A, COTDL.TBL_PIIKEYMAP B WHERE  B.KEY_NAME = ''KEY_ACTID'' AND B.KEYMAP_ID = ''#KEYMAP_ID'' AND B.BASEDATE = TO_DATE(''#BASEDATE'',''yyyy/mm/dd'') AND A.ACTID = B.VAL1','INSERT INTO COTDL.TBL_PIIKEYMAP_TMP(KEYMAP_ID, DB, KEY_NAME, BASEDATE, CUSTID, VAL1, EXPECTED_ARC_DEL_DATE) SELECT ''PII_POLICY3_CORE'',''DAON'',''KEY_DMAID'', TO_DATE(''#BASEDATE'',''yyyy/mm/dd''), B.CUSTID, A.DMAID , EXPECTED_ARC_DEL_DATE FROM COOWNSER.DOCUMENTMANAGEMENT A, COTDL.TBL_PIIKEYMAP B WHERE  B.KEY_NAME = ''KEY_ACTID'' AND B.KEYMAP_ID = ''#KEYMAP_ID'' AND B.BASEDATE = TO_DATE(''#BASEDATE'',''yyyy/mm/dd'') AND A.ACTID = B.VAL1','PII_POLICY3_CORE','KEY_DMAID','DMAID','B.KEY_NAME = ''KEY_DMAID'' AND B.KEYMAP_ID = ''#KEYMAP_ID'' AND B.BASEDATE = TO_DATE(''#BASEDATE'',''yyyy/mm/dd'') AND A.#WHERECOL1 = B.VAL1','AUTO',now(),now(),'member_it','member_it');</v>
      </c>
    </row>
    <row r="26" spans="1:21" s="7" customFormat="1" ht="13.5" x14ac:dyDescent="0.3">
      <c r="A26" s="11" t="s">
        <v>134</v>
      </c>
      <c r="B26" s="6" t="s">
        <v>24</v>
      </c>
      <c r="C26" s="6" t="s">
        <v>25</v>
      </c>
      <c r="D26" s="11" t="s">
        <v>136</v>
      </c>
      <c r="E26" s="6" t="s">
        <v>53</v>
      </c>
      <c r="F26" s="6" t="s">
        <v>52</v>
      </c>
      <c r="G26" s="6">
        <v>10</v>
      </c>
      <c r="H26" s="6">
        <f t="shared" si="0"/>
        <v>1700</v>
      </c>
      <c r="I26" s="6">
        <v>999</v>
      </c>
      <c r="J26" s="6" t="s">
        <v>54</v>
      </c>
      <c r="K26" s="6" t="s">
        <v>135</v>
      </c>
      <c r="L26" s="6" t="s">
        <v>75</v>
      </c>
      <c r="M26" s="6" t="s">
        <v>81</v>
      </c>
      <c r="N26" s="6"/>
      <c r="O26" s="6" t="s">
        <v>12</v>
      </c>
      <c r="P26" s="6">
        <v>4</v>
      </c>
      <c r="Q26" s="6" t="s">
        <v>79</v>
      </c>
      <c r="R26" s="6" t="str">
        <f>IF(A26="","","INSERT INTO COTDL.TBL_PIIKEYMAP"&amp;IF(AND(COUNTIF(H:H,H26)&gt;1,I26&lt;999),"_TMP","")&amp;"(KEYMAP_ID, DB, KEY_NAME, BASEDATE, CUSTID, VAL1, EXPECTED_ARC_DEL_DATE) ")</f>
        <v xml:space="preserve">INSERT INTO COTDL.TBL_PIIKEYMAP(KEYMAP_ID, DB, KEY_NAME, BASEDATE, CUSTID, VAL1, EXPECTED_ARC_DEL_DATE) </v>
      </c>
      <c r="S26" s="6" t="str">
        <f>"SELECT "&amp;IF(I26=999,"DISTINCT ","")&amp;"''"&amp;D25&amp;"'',''"&amp;K26&amp;"'',''"&amp;E26&amp;"'', TO_DATE(''#BASEDATE'',''yyyy/mm/dd''),"&amp;IF(I26=999," A.CUSTID, A.VAL1"&amp;IF(IFERROR(MID(J25&amp;","&amp;",",FIND(",",J25&amp;","&amp;",",1)+1,FIND(",",J25&amp;","&amp;",",FIND(",",J25&amp;","&amp;",",1)+1)-FIND(",",J25&amp;","&amp;",",1)-1),"")="","",", A.VAL2")&amp;IF(IFERROR(MID(J25&amp;",",FIND(",",J25&amp;",",FIND(",",J25&amp;",",1)+1)+1,FIND(",",J25&amp;",",FIND(",",J25&amp;",",FIND(",",J25&amp;",",1)+1)+1)-FIND(",",J25&amp;",",FIND(",",J25&amp;",",1)+1)-1),"")="","",", A.VAL3")&amp;IF(IFERROR(SUBSTITUTE(MID(J25&amp;",",FIND(",",J25&amp;",",FIND(",",J25&amp;",",FIND(",",J25&amp;",",1)+1)+1)+1,LEN(J25)),",",""),"")="","",", A.VAL4")&amp;""," B.CUSTID, A."&amp;SUBSTITUTE(J26,",",", A."))&amp;" , EXPECTED_ARC_DEL_DATE FROM "&amp;IF(I26=999, "COTDL.TBL_PIIKEYMAP_TMP A",L26&amp;"."&amp;M26&amp;" A, COTDL.TBL_PIIKEYMAP B")&amp;" WHERE" &amp;" "&amp; IF(I26=999,"DB = ''"&amp;K26&amp;"'' AND KEY_NAME = ''"&amp;E26&amp;"'' AND KEYMAP_ID = ''#KEYMAP_ID'' AND BASEDATE =TO_DATE(''#BASEDATE'',''yyyy/mm/dd'')", " "&amp;SUBSTITUTE(VLOOKUP(O26,E:T,16,FALSE),"#WHERECOL1",N26))</f>
        <v>SELECT DISTINCT ''PII_POLICY3_CORE'',''DAON'',''KEY_DMAID'', TO_DATE(''#BASEDATE'',''yyyy/mm/dd''), A.CUSTID, A.VAL1 , EXPECTED_ARC_DEL_DATE FROM COTDL.TBL_PIIKEYMAP_TMP A WHERE DB = ''DAON'' AND KEY_NAME = ''KEY_DMAID'' AND KEYMAP_ID = ''#KEYMAP_ID'' AND BASEDATE =TO_DATE(''#BASEDATE'',''yyyy/mm/dd'')</v>
      </c>
      <c r="T26" s="6" t="str">
        <f t="shared" si="1"/>
        <v>B.KEY_NAME = ''KEY_DMAID'' AND B.KEYMAP_ID = ''#KEYMAP_ID'' AND B.BASEDATE = TO_DATE(''#BASEDATE'',''yyyy/mm/dd'') AND A.#WHERECOL1 = B.VAL1</v>
      </c>
      <c r="U26" s="16" t="str">
        <f t="shared" si="2"/>
        <v>INSERT INTO COTDL.TBL_PIISTEPTABLE VALUES('PII_POLICY3_DAON_CORE_DELETE','1','GEN_KEYMAP','DAON','COTDL','TBL_PIIKEYMAP_TMP',NULL, NULL,'KEYMAP',NULL,NULL,NULL,NULL,'10','1700','999',NULL,'문서번호','','','4',NULL,'SELECT DISTINCT ''PII_POLICY3_CORE'',''DAON'',''KEY_DMAID'', TO_DATE(''#BASEDATE'',''yyyy/mm/dd''), A.CUSTID, A.VAL1 , EXPECTED_ARC_DEL_DATE FROM COTDL.TBL_PIIKEYMAP_TMP A WHERE DB = ''DAON'' AND KEY_NAME = ''KEY_DMAID'' AND KEYMAP_ID = ''#KEYMAP_ID'' AND BASEDATE =TO_DATE(''#BASEDATE'',''yyyy/mm/dd'')','INSERT INTO COTDL.TBL_PIIKEYMAP(KEYMAP_ID, DB, KEY_NAME, BASEDATE, CUSTID, VAL1, EXPECTED_ARC_DEL_DATE) SELECT DISTINCT ''PII_POLICY3_CORE'',''DAON'',''KEY_DMAID'', TO_DATE(''#BASEDATE'',''yyyy/mm/dd''), A.CUSTID, A.VAL1 , EXPECTED_ARC_DEL_DATE FROM COTDL.TBL_PIIKEYMAP_TMP A WHERE DB = ''DAON'' AND KEY_NAME = ''KEY_DMAID'' AND KEYMAP_ID = ''#KEYMAP_ID'' AND BASEDATE =TO_DATE(''#BASEDATE'',''yyyy/mm/dd'')','PII_POLICY3_CORE','KEY_DMAID','DMAID','B.KEY_NAME = ''KEY_DMAID'' AND B.KEYMAP_ID = ''#KEYMAP_ID'' AND B.BASEDATE = TO_DATE(''#BASEDATE'',''yyyy/mm/dd'') AND A.#WHERECOL1 = B.VAL1','AUTO',now(),now(),'member_it','member_it');</v>
      </c>
    </row>
    <row r="27" spans="1:21" s="7" customFormat="1" ht="13.5" x14ac:dyDescent="0.3">
      <c r="A27" s="11" t="s">
        <v>134</v>
      </c>
      <c r="B27" s="6" t="s">
        <v>24</v>
      </c>
      <c r="C27" s="6" t="s">
        <v>25</v>
      </c>
      <c r="D27" s="11" t="s">
        <v>136</v>
      </c>
      <c r="E27" s="6" t="s">
        <v>56</v>
      </c>
      <c r="F27" s="6" t="s">
        <v>55</v>
      </c>
      <c r="G27" s="6">
        <v>10</v>
      </c>
      <c r="H27" s="6">
        <f t="shared" si="0"/>
        <v>1800</v>
      </c>
      <c r="I27" s="6">
        <v>100</v>
      </c>
      <c r="J27" s="6" t="s">
        <v>57</v>
      </c>
      <c r="K27" s="6" t="s">
        <v>135</v>
      </c>
      <c r="L27" s="6" t="s">
        <v>86</v>
      </c>
      <c r="M27" s="6" t="s">
        <v>90</v>
      </c>
      <c r="N27" s="6" t="s">
        <v>19</v>
      </c>
      <c r="O27" s="6" t="s">
        <v>20</v>
      </c>
      <c r="P27" s="6">
        <v>4</v>
      </c>
      <c r="Q27" s="6" t="s">
        <v>79</v>
      </c>
      <c r="R27" s="6" t="str">
        <f>IF(A27="","","INSERT INTO COTDL.TBL_PIIKEYMAP"&amp;IF(AND(COUNTIF(H:H,H27)&gt;1,I27&lt;999),"_TMP","")&amp;"(KEYMAP_ID, DB, KEY_NAME, BASEDATE, CUSTID, VAL1, EXPECTED_ARC_DEL_DATE) ")</f>
        <v xml:space="preserve">INSERT INTO COTDL.TBL_PIIKEYMAP_TMP(KEYMAP_ID, DB, KEY_NAME, BASEDATE, CUSTID, VAL1, EXPECTED_ARC_DEL_DATE) </v>
      </c>
      <c r="S27" s="6" t="str">
        <f>"SELECT "&amp;IF(I27=999,"DISTINCT ","")&amp;"''"&amp;D26&amp;"'',''"&amp;K27&amp;"'',''"&amp;E27&amp;"'', TO_DATE(''#BASEDATE'',''yyyy/mm/dd''),"&amp;IF(I27=999," A.CUSTID, A.VAL1"&amp;IF(IFERROR(MID(J26&amp;","&amp;",",FIND(",",J26&amp;","&amp;",",1)+1,FIND(",",J26&amp;","&amp;",",FIND(",",J26&amp;","&amp;",",1)+1)-FIND(",",J26&amp;","&amp;",",1)-1),"")="","",", A.VAL2")&amp;IF(IFERROR(MID(J26&amp;",",FIND(",",J26&amp;",",FIND(",",J26&amp;",",1)+1)+1,FIND(",",J26&amp;",",FIND(",",J26&amp;",",FIND(",",J26&amp;",",1)+1)+1)-FIND(",",J26&amp;",",FIND(",",J26&amp;",",1)+1)-1),"")="","",", A.VAL3")&amp;IF(IFERROR(SUBSTITUTE(MID(J26&amp;",",FIND(",",J26&amp;",",FIND(",",J26&amp;",",FIND(",",J26&amp;",",1)+1)+1)+1,LEN(J26)),",",""),"")="","",", A.VAL4")&amp;""," B.CUSTID, A."&amp;SUBSTITUTE(J27,",",", A."))&amp;" , EXPECTED_ARC_DEL_DATE FROM "&amp;IF(I27=999, "COTDL.TBL_PIIKEYMAP_TMP A",L27&amp;"."&amp;M27&amp;" A, COTDL.TBL_PIIKEYMAP B")&amp;" WHERE" &amp;" "&amp; IF(I27=999,"DB = ''"&amp;K27&amp;"'' AND KEY_NAME = ''"&amp;E27&amp;"'' AND KEYMAP_ID = ''#KEYMAP_ID'' AND BASEDATE =TO_DATE(''#BASEDATE'',''yyyy/mm/dd'')", " "&amp;SUBSTITUTE(VLOOKUP(O27,E:T,16,FALSE),"#WHERECOL1",N27))</f>
        <v>SELECT ''PII_POLICY3_CORE'',''DAON'',''KEY_ANAID'', TO_DATE(''#BASEDATE'',''yyyy/mm/dd''), B.CUSTID, A.ANAID , EXPECTED_ARC_DEL_DATE FROM COOWNSER.ANALYSIS A, COTDL.TBL_PIIKEYMAP B WHERE  B.KEY_NAME = ''KEY_DOSID'' AND B.KEYMAP_ID = ''#KEYMAP_ID'' AND B.BASEDATE = TO_DATE(''#BASEDATE'',''yyyy/mm/dd'') AND A.DOSID = B.VAL1</v>
      </c>
      <c r="T27" s="6" t="str">
        <f t="shared" si="1"/>
        <v>B.KEY_NAME = ''KEY_ANAID'' AND B.KEYMAP_ID = ''#KEYMAP_ID'' AND B.BASEDATE = TO_DATE(''#BASEDATE'',''yyyy/mm/dd'') AND A.#WHERECOL1 = B.VAL1</v>
      </c>
      <c r="U27" s="16" t="str">
        <f t="shared" si="2"/>
        <v>INSERT INTO COTDL.TBL_PIISTEPTABLE VALUES('PII_POLICY3_DAON_CORE_DELETE','1','GEN_KEYMAP','DAON','COOWNSER','ANALYSIS',NULL, NULL,'KEYMAP',NULL,NULL,NULL,NULL,'10','1800','100',NULL,'심사번호','DOSID','KEY_DOSID','4',NULL,'SELECT ''PII_POLICY3_CORE'',''DAON'',''KEY_ANAID'', TO_DATE(''#BASEDATE'',''yyyy/mm/dd''), B.CUSTID, A.ANAID , EXPECTED_ARC_DEL_DATE FROM COOWNSER.ANALYSIS A, COTDL.TBL_PIIKEYMAP B WHERE  B.KEY_NAME = ''KEY_DOSID'' AND B.KEYMAP_ID = ''#KEYMAP_ID'' AND B.BASEDATE = TO_DATE(''#BASEDATE'',''yyyy/mm/dd'') AND A.DOSID = B.VAL1','INSERT INTO COTDL.TBL_PIIKEYMAP_TMP(KEYMAP_ID, DB, KEY_NAME, BASEDATE, CUSTID, VAL1, EXPECTED_ARC_DEL_DATE) SELECT ''PII_POLICY3_CORE'',''DAON'',''KEY_ANAID'', TO_DATE(''#BASEDATE'',''yyyy/mm/dd''), B.CUSTID, A.ANAID , EXPECTED_ARC_DEL_DATE FROM COOWNSER.ANALYSIS A, COTDL.TBL_PIIKEYMAP B WHERE  B.KEY_NAME = ''KEY_DOSID'' AND B.KEYMAP_ID = ''#KEYMAP_ID'' AND B.BASEDATE = TO_DATE(''#BASEDATE'',''yyyy/mm/dd'') AND A.DOSID = B.VAL1','PII_POLICY3_CORE','KEY_ANAID','ANAID','B.KEY_NAME = ''KEY_ANAID'' AND B.KEYMAP_ID = ''#KEYMAP_ID'' AND B.BASEDATE = TO_DATE(''#BASEDATE'',''yyyy/mm/dd'') AND A.#WHERECOL1 = B.VAL1','AUTO',now(),now(),'member_it','member_it');</v>
      </c>
    </row>
    <row r="28" spans="1:21" s="7" customFormat="1" ht="13.5" x14ac:dyDescent="0.3">
      <c r="A28" s="11" t="s">
        <v>134</v>
      </c>
      <c r="B28" s="6" t="s">
        <v>24</v>
      </c>
      <c r="C28" s="6" t="s">
        <v>25</v>
      </c>
      <c r="D28" s="11" t="s">
        <v>136</v>
      </c>
      <c r="E28" s="6" t="s">
        <v>56</v>
      </c>
      <c r="F28" s="6" t="s">
        <v>55</v>
      </c>
      <c r="G28" s="6">
        <v>10</v>
      </c>
      <c r="H28" s="6">
        <f t="shared" si="0"/>
        <v>1800</v>
      </c>
      <c r="I28" s="6">
        <v>999</v>
      </c>
      <c r="J28" s="6" t="s">
        <v>57</v>
      </c>
      <c r="K28" s="6" t="s">
        <v>135</v>
      </c>
      <c r="L28" s="6" t="s">
        <v>75</v>
      </c>
      <c r="M28" s="6" t="s">
        <v>81</v>
      </c>
      <c r="N28" s="6"/>
      <c r="O28" s="6" t="s">
        <v>12</v>
      </c>
      <c r="P28" s="6">
        <v>4</v>
      </c>
      <c r="Q28" s="6" t="s">
        <v>79</v>
      </c>
      <c r="R28" s="6" t="str">
        <f>IF(A28="","","INSERT INTO COTDL.TBL_PIIKEYMAP"&amp;IF(AND(COUNTIF(H:H,H28)&gt;1,I28&lt;999),"_TMP","")&amp;"(KEYMAP_ID, DB, KEY_NAME, BASEDATE, CUSTID, VAL1, EXPECTED_ARC_DEL_DATE) ")</f>
        <v xml:space="preserve">INSERT INTO COTDL.TBL_PIIKEYMAP(KEYMAP_ID, DB, KEY_NAME, BASEDATE, CUSTID, VAL1, EXPECTED_ARC_DEL_DATE) </v>
      </c>
      <c r="S28" s="6" t="str">
        <f>"SELECT "&amp;IF(I28=999,"DISTINCT ","")&amp;"''"&amp;D27&amp;"'',''"&amp;K28&amp;"'',''"&amp;E28&amp;"'', TO_DATE(''#BASEDATE'',''yyyy/mm/dd''),"&amp;IF(I28=999," A.CUSTID, A.VAL1"&amp;IF(IFERROR(MID(J27&amp;","&amp;",",FIND(",",J27&amp;","&amp;",",1)+1,FIND(",",J27&amp;","&amp;",",FIND(",",J27&amp;","&amp;",",1)+1)-FIND(",",J27&amp;","&amp;",",1)-1),"")="","",", A.VAL2")&amp;IF(IFERROR(MID(J27&amp;",",FIND(",",J27&amp;",",FIND(",",J27&amp;",",1)+1)+1,FIND(",",J27&amp;",",FIND(",",J27&amp;",",FIND(",",J27&amp;",",1)+1)+1)-FIND(",",J27&amp;",",FIND(",",J27&amp;",",1)+1)-1),"")="","",", A.VAL3")&amp;IF(IFERROR(SUBSTITUTE(MID(J27&amp;",",FIND(",",J27&amp;",",FIND(",",J27&amp;",",FIND(",",J27&amp;",",1)+1)+1)+1,LEN(J27)),",",""),"")="","",", A.VAL4")&amp;""," B.CUSTID, A."&amp;SUBSTITUTE(J28,",",", A."))&amp;" , EXPECTED_ARC_DEL_DATE FROM "&amp;IF(I28=999, "COTDL.TBL_PIIKEYMAP_TMP A",L28&amp;"."&amp;M28&amp;" A, COTDL.TBL_PIIKEYMAP B")&amp;" WHERE" &amp;" "&amp; IF(I28=999,"DB = ''"&amp;K28&amp;"'' AND KEY_NAME = ''"&amp;E28&amp;"'' AND KEYMAP_ID = ''#KEYMAP_ID'' AND BASEDATE =TO_DATE(''#BASEDATE'',''yyyy/mm/dd'')", " "&amp;SUBSTITUTE(VLOOKUP(O28,E:T,16,FALSE),"#WHERECOL1",N28))</f>
        <v>SELECT DISTINCT ''PII_POLICY3_CORE'',''DAON'',''KEY_ANAID'', TO_DATE(''#BASEDATE'',''yyyy/mm/dd''), A.CUSTID, A.VAL1 , EXPECTED_ARC_DEL_DATE FROM COTDL.TBL_PIIKEYMAP_TMP A WHERE DB = ''DAON'' AND KEY_NAME = ''KEY_ANAID'' AND KEYMAP_ID = ''#KEYMAP_ID'' AND BASEDATE =TO_DATE(''#BASEDATE'',''yyyy/mm/dd'')</v>
      </c>
      <c r="T28" s="6" t="str">
        <f t="shared" si="1"/>
        <v>B.KEY_NAME = ''KEY_ANAID'' AND B.KEYMAP_ID = ''#KEYMAP_ID'' AND B.BASEDATE = TO_DATE(''#BASEDATE'',''yyyy/mm/dd'') AND A.#WHERECOL1 = B.VAL1</v>
      </c>
      <c r="U28" s="16" t="str">
        <f t="shared" si="2"/>
        <v>INSERT INTO COTDL.TBL_PIISTEPTABLE VALUES('PII_POLICY3_DAON_CORE_DELETE','1','GEN_KEYMAP','DAON','COTDL','TBL_PIIKEYMAP_TMP',NULL, NULL,'KEYMAP',NULL,NULL,NULL,NULL,'10','1800','999',NULL,'심사번호','','','4',NULL,'SELECT DISTINCT ''PII_POLICY3_CORE'',''DAON'',''KEY_ANAID'', TO_DATE(''#BASEDATE'',''yyyy/mm/dd''), A.CUSTID, A.VAL1 , EXPECTED_ARC_DEL_DATE FROM COTDL.TBL_PIIKEYMAP_TMP A WHERE DB = ''DAON'' AND KEY_NAME = ''KEY_ANAID'' AND KEYMAP_ID = ''#KEYMAP_ID'' AND BASEDATE =TO_DATE(''#BASEDATE'',''yyyy/mm/dd'')','INSERT INTO COTDL.TBL_PIIKEYMAP(KEYMAP_ID, DB, KEY_NAME, BASEDATE, CUSTID, VAL1, EXPECTED_ARC_DEL_DATE) SELECT DISTINCT ''PII_POLICY3_CORE'',''DAON'',''KEY_ANAID'', TO_DATE(''#BASEDATE'',''yyyy/mm/dd''), A.CUSTID, A.VAL1 , EXPECTED_ARC_DEL_DATE FROM COTDL.TBL_PIIKEYMAP_TMP A WHERE DB = ''DAON'' AND KEY_NAME = ''KEY_ANAID'' AND KEYMAP_ID = ''#KEYMAP_ID'' AND BASEDATE =TO_DATE(''#BASEDATE'',''yyyy/mm/dd'')','PII_POLICY3_CORE','KEY_ANAID','ANAID','B.KEY_NAME = ''KEY_ANAID'' AND B.KEYMAP_ID = ''#KEYMAP_ID'' AND B.BASEDATE = TO_DATE(''#BASEDATE'',''yyyy/mm/dd'') AND A.#WHERECOL1 = B.VAL1','AUTO',now(),now(),'member_it','member_it');</v>
      </c>
    </row>
    <row r="29" spans="1:21" s="7" customFormat="1" ht="13.5" x14ac:dyDescent="0.3">
      <c r="A29" s="11" t="s">
        <v>134</v>
      </c>
      <c r="B29" s="6" t="s">
        <v>24</v>
      </c>
      <c r="C29" s="6" t="s">
        <v>25</v>
      </c>
      <c r="D29" s="11" t="s">
        <v>136</v>
      </c>
      <c r="E29" s="6" t="s">
        <v>61</v>
      </c>
      <c r="F29" s="6" t="s">
        <v>31</v>
      </c>
      <c r="G29" s="6">
        <v>10</v>
      </c>
      <c r="H29" s="6">
        <f t="shared" si="0"/>
        <v>1900</v>
      </c>
      <c r="I29" s="6">
        <v>1</v>
      </c>
      <c r="J29" s="6" t="s">
        <v>62</v>
      </c>
      <c r="K29" s="6" t="s">
        <v>135</v>
      </c>
      <c r="L29" s="6" t="s">
        <v>86</v>
      </c>
      <c r="M29" s="6" t="s">
        <v>91</v>
      </c>
      <c r="N29" s="6" t="s">
        <v>19</v>
      </c>
      <c r="O29" s="6" t="s">
        <v>20</v>
      </c>
      <c r="P29" s="6">
        <v>4</v>
      </c>
      <c r="Q29" s="6" t="s">
        <v>79</v>
      </c>
      <c r="R29" s="6" t="str">
        <f>IF(A29="","","INSERT INTO COTDL.TBL_PIIKEYMAP"&amp;IF(AND(COUNTIF(H:H,H29)&gt;1,I29&lt;999),"_TMP","")&amp;"(KEYMAP_ID, DB, KEY_NAME, BASEDATE, CUSTID, VAL1, EXPECTED_ARC_DEL_DATE) ")</f>
        <v xml:space="preserve">INSERT INTO COTDL.TBL_PIIKEYMAP(KEYMAP_ID, DB, KEY_NAME, BASEDATE, CUSTID, VAL1, EXPECTED_ARC_DEL_DATE) </v>
      </c>
      <c r="S29" s="6" t="str">
        <f>"SELECT "&amp;IF(I29=999,"DISTINCT ","")&amp;"''"&amp;D28&amp;"'',''"&amp;K29&amp;"'',''"&amp;E29&amp;"'', TO_DATE(''#BASEDATE'',''yyyy/mm/dd''),"&amp;IF(I29=999," A.CUSTID, A.VAL1"&amp;IF(IFERROR(MID(J28&amp;","&amp;",",FIND(",",J28&amp;","&amp;",",1)+1,FIND(",",J28&amp;","&amp;",",FIND(",",J28&amp;","&amp;",",1)+1)-FIND(",",J28&amp;","&amp;",",1)-1),"")="","",", A.VAL2")&amp;IF(IFERROR(MID(J28&amp;",",FIND(",",J28&amp;",",FIND(",",J28&amp;",",1)+1)+1,FIND(",",J28&amp;",",FIND(",",J28&amp;",",FIND(",",J28&amp;",",1)+1)+1)-FIND(",",J28&amp;",",FIND(",",J28&amp;",",1)+1)-1),"")="","",", A.VAL3")&amp;IF(IFERROR(SUBSTITUTE(MID(J28&amp;",",FIND(",",J28&amp;",",FIND(",",J28&amp;",",FIND(",",J28&amp;",",1)+1)+1)+1,LEN(J28)),",",""),"")="","",", A.VAL4")&amp;""," B.CUSTID, A."&amp;SUBSTITUTE(J29,",",", A."))&amp;" , EXPECTED_ARC_DEL_DATE FROM "&amp;IF(I29=999, "COTDL.TBL_PIIKEYMAP_TMP A",L29&amp;"."&amp;M29&amp;" A, COTDL.TBL_PIIKEYMAP B")&amp;" WHERE" &amp;" "&amp; IF(I29=999,"DB = ''"&amp;K29&amp;"'' AND KEY_NAME = ''"&amp;E29&amp;"'' AND KEYMAP_ID = ''#KEYMAP_ID'' AND BASEDATE =TO_DATE(''#BASEDATE'',''yyyy/mm/dd'')", " "&amp;SUBSTITUTE(VLOOKUP(O29,E:T,16,FALSE),"#WHERECOL1",N29))</f>
        <v>SELECT ''PII_POLICY3_CORE'',''DAON'',''KEY_COFID'', TO_DATE(''#BASEDATE'',''yyyy/mm/dd''), B.CUSTID, A.COFID , EXPECTED_ARC_DEL_DATE FROM COOWNSER.CHARGEOFF A, COTDL.TBL_PIIKEYMAP B WHERE  B.KEY_NAME = ''KEY_DOSID'' AND B.KEYMAP_ID = ''#KEYMAP_ID'' AND B.BASEDATE = TO_DATE(''#BASEDATE'',''yyyy/mm/dd'') AND A.DOSID = B.VAL1</v>
      </c>
      <c r="T29" s="6" t="str">
        <f t="shared" si="1"/>
        <v>B.KEY_NAME = ''KEY_COFID'' AND B.KEYMAP_ID = ''#KEYMAP_ID'' AND B.BASEDATE = TO_DATE(''#BASEDATE'',''yyyy/mm/dd'') AND A.#WHERECOL1 = B.VAL1</v>
      </c>
      <c r="U29" s="16" t="str">
        <f t="shared" si="2"/>
        <v>INSERT INTO COTDL.TBL_PIISTEPTABLE VALUES('PII_POLICY3_DAON_CORE_DELETE','1','GEN_KEYMAP','DAON','COOWNSER','CHARGEOFF',NULL, NULL,'KEYMAP',NULL,NULL,NULL,NULL,'10','1900','1',NULL,'재무번호','DOSID','KEY_DOSID','4',NULL,'SELECT ''PII_POLICY3_CORE'',''DAON'',''KEY_COFID'', TO_DATE(''#BASEDATE'',''yyyy/mm/dd''), B.CUSTID, A.COFID , EXPECTED_ARC_DEL_DATE FROM COOWNSER.CHARGEOFF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''PII_POLICY3_CORE'',''DAON'',''KEY_COFID'', TO_DATE(''#BASEDATE'',''yyyy/mm/dd''), B.CUSTID, A.COFID , EXPECTED_ARC_DEL_DATE FROM COOWNSER.CHARGEOFF A, COTDL.TBL_PIIKEYMAP B WHERE  B.KEY_NAME = ''KEY_DOSID'' AND B.KEYMAP_ID = ''#KEYMAP_ID'' AND B.BASEDATE = TO_DATE(''#BASEDATE'',''yyyy/mm/dd'') AND A.DOSID = B.VAL1','PII_POLICY3_CORE','KEY_COFID','COFID','B.KEY_NAME = ''KEY_COFID'' AND B.KEYMAP_ID = ''#KEYMAP_ID'' AND B.BASEDATE = TO_DATE(''#BASEDATE'',''yyyy/mm/dd'') AND A.#WHERECOL1 = B.VAL1','AUTO',now(),now(),'member_it','member_it');</v>
      </c>
    </row>
    <row r="30" spans="1:21" s="7" customFormat="1" ht="13.5" x14ac:dyDescent="0.3">
      <c r="A30" s="11" t="s">
        <v>134</v>
      </c>
      <c r="B30" s="6" t="s">
        <v>24</v>
      </c>
      <c r="C30" s="6" t="s">
        <v>25</v>
      </c>
      <c r="D30" s="11" t="s">
        <v>136</v>
      </c>
      <c r="E30" s="6" t="s">
        <v>63</v>
      </c>
      <c r="F30" s="6" t="s">
        <v>60</v>
      </c>
      <c r="G30" s="6">
        <v>10</v>
      </c>
      <c r="H30" s="6">
        <f t="shared" si="0"/>
        <v>2000</v>
      </c>
      <c r="I30" s="6">
        <v>1</v>
      </c>
      <c r="J30" s="6" t="s">
        <v>64</v>
      </c>
      <c r="K30" s="6" t="s">
        <v>135</v>
      </c>
      <c r="L30" s="6" t="s">
        <v>86</v>
      </c>
      <c r="M30" s="6" t="s">
        <v>92</v>
      </c>
      <c r="N30" s="6" t="s">
        <v>19</v>
      </c>
      <c r="O30" s="6" t="s">
        <v>20</v>
      </c>
      <c r="P30" s="6">
        <v>4</v>
      </c>
      <c r="Q30" s="6" t="s">
        <v>79</v>
      </c>
      <c r="R30" s="6" t="str">
        <f>IF(A30="","","INSERT INTO COTDL.TBL_PIIKEYMAP"&amp;IF(AND(COUNTIF(H:H,H30)&gt;1,I30&lt;999),"_TMP","")&amp;"(KEYMAP_ID, DB, KEY_NAME, BASEDATE, CUSTID, VAL1, EXPECTED_ARC_DEL_DATE) ")</f>
        <v xml:space="preserve">INSERT INTO COTDL.TBL_PIIKEYMAP(KEYMAP_ID, DB, KEY_NAME, BASEDATE, CUSTID, VAL1, EXPECTED_ARC_DEL_DATE) </v>
      </c>
      <c r="S30" s="6" t="str">
        <f>"SELECT "&amp;IF(I30=999,"DISTINCT ","")&amp;"''"&amp;D29&amp;"'',''"&amp;K30&amp;"'',''"&amp;E30&amp;"'', TO_DATE(''#BASEDATE'',''yyyy/mm/dd''),"&amp;IF(I30=999," A.CUSTID, A.VAL1"&amp;IF(IFERROR(MID(J29&amp;","&amp;",",FIND(",",J29&amp;","&amp;",",1)+1,FIND(",",J29&amp;","&amp;",",FIND(",",J29&amp;","&amp;",",1)+1)-FIND(",",J29&amp;","&amp;",",1)-1),"")="","",", A.VAL2")&amp;IF(IFERROR(MID(J29&amp;",",FIND(",",J29&amp;",",FIND(",",J29&amp;",",1)+1)+1,FIND(",",J29&amp;",",FIND(",",J29&amp;",",FIND(",",J29&amp;",",1)+1)+1)-FIND(",",J29&amp;",",FIND(",",J29&amp;",",1)+1)-1),"")="","",", A.VAL3")&amp;IF(IFERROR(SUBSTITUTE(MID(J29&amp;",",FIND(",",J29&amp;",",FIND(",",J29&amp;",",FIND(",",J29&amp;",",1)+1)+1)+1,LEN(J29)),",",""),"")="","",", A.VAL4")&amp;""," B.CUSTID, A."&amp;SUBSTITUTE(J30,",",", A."))&amp;" , EXPECTED_ARC_DEL_DATE FROM "&amp;IF(I30=999, "COTDL.TBL_PIIKEYMAP_TMP A",L30&amp;"."&amp;M30&amp;" A, COTDL.TBL_PIIKEYMAP B")&amp;" WHERE" &amp;" "&amp; IF(I30=999,"DB = ''"&amp;K30&amp;"'' AND KEY_NAME = ''"&amp;E30&amp;"'' AND KEYMAP_ID = ''#KEYMAP_ID'' AND BASEDATE =TO_DATE(''#BASEDATE'',''yyyy/mm/dd'')", " "&amp;SUBSTITUTE(VLOOKUP(O30,E:T,16,FALSE),"#WHERECOL1",N30))</f>
        <v>SELECT ''PII_POLICY3_CORE'',''DAON'',''KEY_TWOID'', TO_DATE(''#BASEDATE'',''yyyy/mm/dd''), B.CUSTID, A.TWOID , EXPECTED_ARC_DEL_DATE FROM COOWNSER.TWORKOUT A, COTDL.TBL_PIIKEYMAP B WHERE  B.KEY_NAME = ''KEY_DOSID'' AND B.KEYMAP_ID = ''#KEYMAP_ID'' AND B.BASEDATE = TO_DATE(''#BASEDATE'',''yyyy/mm/dd'') AND A.DOSID = B.VAL1</v>
      </c>
      <c r="T30" s="6" t="str">
        <f t="shared" si="1"/>
        <v>B.KEY_NAME = ''KEY_TWOID'' AND B.KEYMAP_ID = ''#KEYMAP_ID'' AND B.BASEDATE = TO_DATE(''#BASEDATE'',''yyyy/mm/dd'') AND A.#WHERECOL1 = B.VAL1</v>
      </c>
      <c r="U30" s="16" t="str">
        <f t="shared" si="2"/>
        <v>INSERT INTO COTDL.TBL_PIISTEPTABLE VALUES('PII_POLICY3_DAON_CORE_DELETE','1','GEN_KEYMAP','DAON','COOWNSER','TWORKOUT',NULL, NULL,'KEYMAP',NULL,NULL,NULL,NULL,'10','2000','1',NULL,'TWO번호','DOSID','KEY_DOSID','4',NULL,'SELECT ''PII_POLICY3_CORE'',''DAON'',''KEY_TWOID'', TO_DATE(''#BASEDATE'',''yyyy/mm/dd''), B.CUSTID, A.TWOID , EXPECTED_ARC_DEL_DATE FROM COOWNSER.TWORKOUT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''PII_POLICY3_CORE'',''DAON'',''KEY_TWOID'', TO_DATE(''#BASEDATE'',''yyyy/mm/dd''), B.CUSTID, A.TWOID , EXPECTED_ARC_DEL_DATE FROM COOWNSER.TWORKOUT A, COTDL.TBL_PIIKEYMAP B WHERE  B.KEY_NAME = ''KEY_DOSID'' AND B.KEYMAP_ID = ''#KEYMAP_ID'' AND B.BASEDATE = TO_DATE(''#BASEDATE'',''yyyy/mm/dd'') AND A.DOSID = B.VAL1','PII_POLICY3_CORE','KEY_TWOID','TWOID','B.KEY_NAME = ''KEY_TWOID'' AND B.KEYMAP_ID = ''#KEYMAP_ID'' AND B.BASEDATE = TO_DATE(''#BASEDATE'',''yyyy/mm/dd'') AND A.#WHERECOL1 = B.VAL1','AUTO',now(),now(),'member_it','member_it');</v>
      </c>
    </row>
    <row r="31" spans="1:21" s="7" customFormat="1" ht="13.5" x14ac:dyDescent="0.3">
      <c r="A31" s="11" t="s">
        <v>134</v>
      </c>
      <c r="B31" s="6" t="s">
        <v>24</v>
      </c>
      <c r="C31" s="6" t="s">
        <v>25</v>
      </c>
      <c r="D31" s="11" t="s">
        <v>136</v>
      </c>
      <c r="E31" s="6" t="s">
        <v>66</v>
      </c>
      <c r="F31" s="6" t="s">
        <v>65</v>
      </c>
      <c r="G31" s="6">
        <v>10</v>
      </c>
      <c r="H31" s="6">
        <f t="shared" si="0"/>
        <v>2100</v>
      </c>
      <c r="I31" s="6">
        <v>1</v>
      </c>
      <c r="J31" s="6" t="s">
        <v>67</v>
      </c>
      <c r="K31" s="6" t="s">
        <v>135</v>
      </c>
      <c r="L31" s="6" t="s">
        <v>86</v>
      </c>
      <c r="M31" s="6" t="s">
        <v>93</v>
      </c>
      <c r="N31" s="6" t="s">
        <v>19</v>
      </c>
      <c r="O31" s="6" t="s">
        <v>20</v>
      </c>
      <c r="P31" s="6">
        <v>4</v>
      </c>
      <c r="Q31" s="6" t="s">
        <v>79</v>
      </c>
      <c r="R31" s="6" t="str">
        <f>IF(A31="","","INSERT INTO COTDL.TBL_PIIKEYMAP"&amp;IF(AND(COUNTIF(H:H,H31)&gt;1,I31&lt;999),"_TMP","")&amp;"(KEYMAP_ID, DB, KEY_NAME, BASEDATE, CUSTID, VAL1, EXPECTED_ARC_DEL_DATE) ")</f>
        <v xml:space="preserve">INSERT INTO COTDL.TBL_PIIKEYMAP(KEYMAP_ID, DB, KEY_NAME, BASEDATE, CUSTID, VAL1, EXPECTED_ARC_DEL_DATE) </v>
      </c>
      <c r="S31" s="6" t="str">
        <f>"SELECT "&amp;IF(I31=999,"DISTINCT ","")&amp;"''"&amp;D30&amp;"'',''"&amp;K31&amp;"'',''"&amp;E31&amp;"'', TO_DATE(''#BASEDATE'',''yyyy/mm/dd''),"&amp;IF(I31=999," A.CUSTID, A.VAL1"&amp;IF(IFERROR(MID(J30&amp;","&amp;",",FIND(",",J30&amp;","&amp;",",1)+1,FIND(",",J30&amp;","&amp;",",FIND(",",J30&amp;","&amp;",",1)+1)-FIND(",",J30&amp;","&amp;",",1)-1),"")="","",", A.VAL2")&amp;IF(IFERROR(MID(J30&amp;",",FIND(",",J30&amp;",",FIND(",",J30&amp;",",1)+1)+1,FIND(",",J30&amp;",",FIND(",",J30&amp;",",FIND(",",J30&amp;",",1)+1)+1)-FIND(",",J30&amp;",",FIND(",",J30&amp;",",1)+1)-1),"")="","",", A.VAL3")&amp;IF(IFERROR(SUBSTITUTE(MID(J30&amp;",",FIND(",",J30&amp;",",FIND(",",J30&amp;",",FIND(",",J30&amp;",",1)+1)+1)+1,LEN(J30)),",",""),"")="","",", A.VAL4")&amp;""," B.CUSTID, A."&amp;SUBSTITUTE(J31,",",", A."))&amp;" , EXPECTED_ARC_DEL_DATE FROM "&amp;IF(I31=999, "COTDL.TBL_PIIKEYMAP_TMP A",L31&amp;"."&amp;M31&amp;" A, COTDL.TBL_PIIKEYMAP B")&amp;" WHERE" &amp;" "&amp; IF(I31=999,"DB = ''"&amp;K31&amp;"'' AND KEY_NAME = ''"&amp;E31&amp;"'' AND KEYMAP_ID = ''#KEYMAP_ID'' AND BASEDATE =TO_DATE(''#BASEDATE'',''yyyy/mm/dd'')", " "&amp;SUBSTITUTE(VLOOKUP(O31,E:T,16,FALSE),"#WHERECOL1",N31))</f>
        <v>SELECT ''PII_POLICY3_CORE'',''DAON'',''KEY_DOSNUM'', TO_DATE(''#BASEDATE'',''yyyy/mm/dd''), B.CUSTID, A.DOSNUM , EXPECTED_ARC_DEL_DATE FROM COOWNSER.DOSSIER A, COTDL.TBL_PIIKEYMAP B WHERE  B.KEY_NAME = ''KEY_DOSID'' AND B.KEYMAP_ID = ''#KEYMAP_ID'' AND B.BASEDATE = TO_DATE(''#BASEDATE'',''yyyy/mm/dd'') AND A.DOSID = B.VAL1</v>
      </c>
      <c r="T31" s="6" t="str">
        <f t="shared" si="1"/>
        <v>B.KEY_NAME = ''KEY_DOSNUM'' AND B.KEYMAP_ID = ''#KEYMAP_ID'' AND B.BASEDATE = TO_DATE(''#BASEDATE'',''yyyy/mm/dd'') AND A.#WHERECOL1 = B.VAL1</v>
      </c>
      <c r="U31" s="16" t="str">
        <f t="shared" si="2"/>
        <v>INSERT INTO COTDL.TBL_PIISTEPTABLE VALUES('PII_POLICY3_DAON_CORE_DELETE','1','GEN_KEYMAP','DAON','COOWNSER','DOSSIER',NULL, NULL,'KEYMAP',NULL,NULL,NULL,NULL,'10','2100','1',NULL,'계약번호','DOSID','KEY_DOSID','4',NULL,'SELECT ''PII_POLICY3_CORE'',''DAON'',''KEY_DOSNUM'', TO_DATE(''#BASEDATE'',''yyyy/mm/dd''), B.CUSTID, A.DOSNUM , EXPECTED_ARC_DEL_DATE FROM COOWNSER.DOSSIER A, COTDL.TBL_PIIKEYMAP B WHERE  B.KEY_NAME = ''KEY_DOSID'' AND B.KEYMAP_ID = ''#KEYMAP_ID'' AND B.BASEDATE = TO_DATE(''#BASEDATE'',''yyyy/mm/dd'') AND A.DOSID = B.VAL1','INSERT INTO COTDL.TBL_PIIKEYMAP(KEYMAP_ID, DB, KEY_NAME, BASEDATE, CUSTID, VAL1, EXPECTED_ARC_DEL_DATE) SELECT ''PII_POLICY3_CORE'',''DAON'',''KEY_DOSNUM'', TO_DATE(''#BASEDATE'',''yyyy/mm/dd''), B.CUSTID, A.DOSNUM , EXPECTED_ARC_DEL_DATE FROM COOWNSER.DOSSIER A, COTDL.TBL_PIIKEYMAP B WHERE  B.KEY_NAME = ''KEY_DOSID'' AND B.KEYMAP_ID = ''#KEYMAP_ID'' AND B.BASEDATE = TO_DATE(''#BASEDATE'',''yyyy/mm/dd'') AND A.DOSID = B.VAL1','PII_POLICY3_CORE','KEY_DOSNUM','DOSNUM','B.KEY_NAME = ''KEY_DOSNUM'' AND B.KEYMAP_ID = ''#KEYMAP_ID'' AND B.BASEDATE = TO_DATE(''#BASEDATE'',''yyyy/mm/dd'') AND A.#WHERECOL1 = B.VAL1','AUTO',now(),now(),'member_it','member_it');</v>
      </c>
    </row>
    <row r="32" spans="1:21" s="7" customFormat="1" ht="13.5" x14ac:dyDescent="0.3">
      <c r="A32" s="11" t="s">
        <v>134</v>
      </c>
      <c r="B32" s="6" t="s">
        <v>24</v>
      </c>
      <c r="C32" s="6" t="s">
        <v>25</v>
      </c>
      <c r="D32" s="11" t="s">
        <v>136</v>
      </c>
      <c r="E32" s="6" t="s">
        <v>69</v>
      </c>
      <c r="F32" s="6" t="s">
        <v>68</v>
      </c>
      <c r="G32" s="6">
        <v>10</v>
      </c>
      <c r="H32" s="6">
        <f t="shared" si="0"/>
        <v>2200</v>
      </c>
      <c r="I32" s="6">
        <v>1</v>
      </c>
      <c r="J32" s="6" t="s">
        <v>70</v>
      </c>
      <c r="K32" s="6" t="s">
        <v>135</v>
      </c>
      <c r="L32" s="6" t="s">
        <v>86</v>
      </c>
      <c r="M32" s="6" t="s">
        <v>94</v>
      </c>
      <c r="N32" s="6" t="s">
        <v>17</v>
      </c>
      <c r="O32" s="6" t="s">
        <v>18</v>
      </c>
      <c r="P32" s="6">
        <v>4</v>
      </c>
      <c r="Q32" s="6" t="s">
        <v>79</v>
      </c>
      <c r="R32" s="6" t="str">
        <f>IF(A32="","","INSERT INTO COTDL.TBL_PIIKEYMAP"&amp;IF(AND(COUNTIF(H:H,H32)&gt;1,I32&lt;999),"_TMP","")&amp;"(KEYMAP_ID, DB, KEY_NAME, BASEDATE, CUSTID, VAL1, EXPECTED_ARC_DEL_DATE) ")</f>
        <v xml:space="preserve">INSERT INTO COTDL.TBL_PIIKEYMAP(KEYMAP_ID, DB, KEY_NAME, BASEDATE, CUSTID, VAL1, EXPECTED_ARC_DEL_DATE) </v>
      </c>
      <c r="S32" s="6" t="str">
        <f>"SELECT "&amp;IF(I32=999,"DISTINCT ","")&amp;"''"&amp;D31&amp;"'',''"&amp;K32&amp;"'',''"&amp;E32&amp;"'', TO_DATE(''#BASEDATE'',''yyyy/mm/dd''),"&amp;IF(I32=999," A.CUSTID, A.VAL1"&amp;IF(IFERROR(MID(J31&amp;","&amp;",",FIND(",",J31&amp;","&amp;",",1)+1,FIND(",",J31&amp;","&amp;",",FIND(",",J31&amp;","&amp;",",1)+1)-FIND(",",J31&amp;","&amp;",",1)-1),"")="","",", A.VAL2")&amp;IF(IFERROR(MID(J31&amp;",",FIND(",",J31&amp;",",FIND(",",J31&amp;",",1)+1)+1,FIND(",",J31&amp;",",FIND(",",J31&amp;",",FIND(",",J31&amp;",",1)+1)+1)-FIND(",",J31&amp;",",FIND(",",J31&amp;",",1)+1)-1),"")="","",", A.VAL3")&amp;IF(IFERROR(SUBSTITUTE(MID(J31&amp;",",FIND(",",J31&amp;",",FIND(",",J31&amp;",",FIND(",",J31&amp;",",1)+1)+1)+1,LEN(J31)),",",""),"")="","",", A.VAL4")&amp;""," B.CUSTID, A."&amp;SUBSTITUTE(J32,",",", A."))&amp;" , EXPECTED_ARC_DEL_DATE FROM "&amp;IF(I32=999, "COTDL.TBL_PIIKEYMAP_TMP A",L32&amp;"."&amp;M32&amp;" A, COTDL.TBL_PIIKEYMAP B")&amp;" WHERE" &amp;" "&amp; IF(I32=999,"DB = ''"&amp;K32&amp;"'' AND KEY_NAME = ''"&amp;E32&amp;"'' AND KEYMAP_ID = ''#KEYMAP_ID'' AND BASEDATE =TO_DATE(''#BASEDATE'',''yyyy/mm/dd'')", " "&amp;SUBSTITUTE(VLOOKUP(O32,E:T,16,FALSE),"#WHERECOL1",N32))</f>
        <v>SELECT ''PII_POLICY3_CORE'',''DAON'',''KEY_ACTCODE'', TO_DATE(''#BASEDATE'',''yyyy/mm/dd''), B.CUSTID, A.ACTCODE , EXPECTED_ARC_DEL_DATE FROM COOWNSER.ACTEUR A, COTDL.TBL_PIIKEYMAP B WHERE  B.KEY_NAME = ''KEY_ACTID'' AND B.KEYMAP_ID = ''#KEYMAP_ID'' AND B.BASEDATE = TO_DATE(''#BASEDATE'',''yyyy/mm/dd'') AND A.ACTID = B.VAL1</v>
      </c>
      <c r="T32" s="6" t="str">
        <f t="shared" si="1"/>
        <v>B.KEY_NAME = ''KEY_ACTCODE'' AND B.KEYMAP_ID = ''#KEYMAP_ID'' AND B.BASEDATE = TO_DATE(''#BASEDATE'',''yyyy/mm/dd'') AND A.#WHERECOL1 = B.VAL1</v>
      </c>
      <c r="U32" s="16" t="str">
        <f t="shared" si="2"/>
        <v>INSERT INTO COTDL.TBL_PIISTEPTABLE VALUES('PII_POLICY3_DAON_CORE_DELETE','1','GEN_KEYMAP','DAON','COOWNSER','ACTEUR',NULL, NULL,'KEYMAP',NULL,NULL,NULL,NULL,'10','2200','1',NULL,'고객번호','ACTID','KEY_ACTID','4',NULL,'SELECT ''PII_POLICY3_CORE'',''DAON'',''KEY_ACTCODE'', TO_DATE(''#BASEDATE'',''yyyy/mm/dd''), B.CUSTID, A.ACTCODE , EXPECTED_ARC_DEL_DATE FROM COOWNSER.ACTEUR A, COTDL.TBL_PIIKEYMAP B WHERE  B.KEY_NAME = ''KEY_ACTID'' AND B.KEYMAP_ID = ''#KEYMAP_ID'' AND B.BASEDATE = TO_DATE(''#BASEDATE'',''yyyy/mm/dd'') AND A.ACTID = B.VAL1','INSERT INTO COTDL.TBL_PIIKEYMAP(KEYMAP_ID, DB, KEY_NAME, BASEDATE, CUSTID, VAL1, EXPECTED_ARC_DEL_DATE) SELECT ''PII_POLICY3_CORE'',''DAON'',''KEY_ACTCODE'', TO_DATE(''#BASEDATE'',''yyyy/mm/dd''), B.CUSTID, A.ACTCODE , EXPECTED_ARC_DEL_DATE FROM COOWNSER.ACTEUR A, COTDL.TBL_PIIKEYMAP B WHERE  B.KEY_NAME = ''KEY_ACTID'' AND B.KEYMAP_ID = ''#KEYMAP_ID'' AND B.BASEDATE = TO_DATE(''#BASEDATE'',''yyyy/mm/dd'') AND A.ACTID = B.VAL1','PII_POLICY3_CORE','KEY_ACTCODE','ACTCODE','B.KEY_NAME = ''KEY_ACTCODE'' AND B.KEYMAP_ID = ''#KEYMAP_ID'' AND B.BASEDATE = TO_DATE(''#BASEDATE'',''yyyy/mm/dd'') AND A.#WHERECOL1 = B.VAL1','AUTO',now(),now(),'member_it','member_it');</v>
      </c>
    </row>
    <row r="33" spans="1:21" s="14" customFormat="1" ht="13.5" x14ac:dyDescent="0.3">
      <c r="A33" s="12" t="s">
        <v>134</v>
      </c>
      <c r="B33" s="12" t="s">
        <v>24</v>
      </c>
      <c r="C33" s="12" t="s">
        <v>25</v>
      </c>
      <c r="D33" s="12" t="s">
        <v>136</v>
      </c>
      <c r="E33" s="12" t="s">
        <v>16</v>
      </c>
      <c r="F33" s="12" t="s">
        <v>71</v>
      </c>
      <c r="G33" s="12">
        <v>10</v>
      </c>
      <c r="H33" s="12">
        <f t="shared" si="0"/>
        <v>2300</v>
      </c>
      <c r="I33" s="12">
        <v>100</v>
      </c>
      <c r="J33" s="12" t="s">
        <v>95</v>
      </c>
      <c r="K33" s="12" t="s">
        <v>135</v>
      </c>
      <c r="L33" s="12" t="s">
        <v>86</v>
      </c>
      <c r="M33" s="12" t="s">
        <v>96</v>
      </c>
      <c r="N33" s="12" t="s">
        <v>19</v>
      </c>
      <c r="O33" s="12" t="s">
        <v>20</v>
      </c>
      <c r="P33" s="12">
        <v>4</v>
      </c>
      <c r="Q33" s="12" t="s">
        <v>79</v>
      </c>
      <c r="R33" s="12" t="str">
        <f>IF(A33="","","INSERT INTO COTDL.TBL_PIIKEYMAP"&amp;IF(AND(COUNTIF(H:H,H33)&gt;1,I33&lt;999),"_TMP","")&amp;"(KEYMAP_ID, DB, KEY_NAME, BASEDATE, CUSTID, VAL1, VAL2, EXPECTED_ARC_DEL_DATE) ")</f>
        <v xml:space="preserve">INSERT INTO COTDL.TBL_PIIKEYMAP_TMP(KEYMAP_ID, DB, KEY_NAME, BASEDATE, CUSTID, VAL1, VAL2, EXPECTED_ARC_DEL_DATE) </v>
      </c>
      <c r="S33" s="12" t="str">
        <f>"SELECT "&amp;IF(I33=999,"DISTINCT ","")&amp;"''"&amp;D32&amp;"'',''"&amp;K33&amp;"'',''"&amp;E33&amp;"'', TO_DATE(''#BASEDATE'',''yyyy/mm/dd''),"&amp;IF(I33=999," A.CUSTID, A.VAL1"&amp;IF(IFERROR(MID(J32&amp;","&amp;",",FIND(",",J32&amp;","&amp;",",1)+1,FIND(",",J32&amp;","&amp;",",FIND(",",J32&amp;","&amp;",",1)+1)-FIND(",",J32&amp;","&amp;",",1)-1),"")="","",", A.VAL2")&amp;IF(IFERROR(MID(J32&amp;",",FIND(",",J32&amp;",",FIND(",",J32&amp;",",1)+1)+1,FIND(",",J32&amp;",",FIND(",",J32&amp;",",FIND(",",J32&amp;",",1)+1)+1)-FIND(",",J32&amp;",",FIND(",",J32&amp;",",1)+1)-1),"")="","",", A.VAL3")&amp;IF(IFERROR(SUBSTITUTE(MID(J32&amp;",",FIND(",",J32&amp;",",FIND(",",J32&amp;",",FIND(",",J32&amp;",",1)+1)+1)+1,LEN(J32)),",",""),"")="","",", A.VAL4")&amp;""," B.CUSTID, A."&amp;SUBSTITUTE(J33,",",", A."))&amp;" , EXPECTED_ARC_DEL_DATE FROM "&amp;IF(I33=999, "COTDL.TBL_PIIKEYMAP_TMP A",L33&amp;"."&amp;M33&amp;" A, COTDL.TBL_PIIKEYMAP B")&amp;" WHERE" &amp;" "&amp; IF(I33=999,"DB = ''"&amp;K33&amp;"'' AND KEY_NAME = ''"&amp;E33&amp;"'' AND KEYMAP_ID = ''#KEYMAP_ID'' AND BASEDATE =TO_DATE(''#BASEDATE'',''yyyy/mm/dd'')", " "&amp;SUBSTITUTE(VLOOKUP(O33,E:T,16,FALSE),"#WHERECOL1",N33))</f>
        <v>SELECT ''PII_POLICY3_CORE'',''DAON'',''KEY_REGIMPUTATION'', TO_DATE(''#BASEDATE'',''yyyy/mm/dd''), B.CUSTID, A.REGID, A.RIMORDRE , EXPECTED_ARC_DEL_DATE FROM COOWNSER.REGIMPUTATION A, COTDL.TBL_PIIKEYMAP B WHERE  B.KEY_NAME = ''KEY_DOSID'' AND B.KEYMAP_ID = ''#KEYMAP_ID'' AND B.BASEDATE = TO_DATE(''#BASEDATE'',''yyyy/mm/dd'') AND A.DOSID = B.VAL1</v>
      </c>
      <c r="T33" s="12" t="str">
        <f t="shared" si="1"/>
        <v>B.KEY_NAME = ''KEY_REGIMPUTATION'' AND B.KEYMAP_ID = ''#KEYMAP_ID'' AND B.BASEDATE = TO_DATE(''#BASEDATE'',''yyyy/mm/dd'') AND A.#WHERECOL1 = B.VAL1 AND A.#WHERECOL2 = B.VAL2</v>
      </c>
      <c r="U33" s="15" t="str">
        <f t="shared" si="2"/>
        <v>INSERT INTO COTDL.TBL_PIISTEPTABLE VALUES('PII_POLICY3_DAON_CORE_DELETE','1','GEN_KEYMAP','DAON','COOWNSER','REGIMPUTATION',NULL, NULL,'KEYMAP',NULL,NULL,NULL,NULL,'10','2300','100',NULL,'입금상세','DOSID','KEY_DOSID','4',NULL,'SELECT ''PII_POLICY3_CORE'',''DAON'',''KEY_REGIMPUTATION'', TO_DATE(''#BASEDATE'',''yyyy/mm/dd''), B.CUSTID, A.REGID, A.RIMORDRE , EXPECTED_ARC_DEL_DATE FROM COOWNSER.REGIMPUTATION A, COTDL.TBL_PIIKEYMAP B WHERE  B.KEY_NAME = ''KEY_DOSID'' AND B.KEYMAP_ID = ''#KEYMAP_ID'' AND B.BASEDATE = TO_DATE(''#BASEDATE'',''yyyy/mm/dd'') AND A.DOSID = B.VAL1','INSERT INTO COTDL.TBL_PIIKEYMAP_TMP(KEYMAP_ID, DB, KEY_NAME, BASEDATE, CUSTID, VAL1, VAL2, EXPECTED_ARC_DEL_DATE) SELECT ''PII_POLICY3_CORE'',''DAON'',''KEY_REGIMPUTATION'', TO_DATE(''#BASEDATE'',''yyyy/mm/dd''), B.CUSTID, A.REGID, A.RIMORDRE , EXPECTED_ARC_DEL_DATE FROM COOWNSER.REGIMPUTATION A, COTDL.TBL_PIIKEYMAP B WHERE  B.KEY_NAME = ''KEY_DOSID'' AND B.KEYMAP_ID = ''#KEYMAP_ID'' AND B.BASEDATE = TO_DATE(''#BASEDATE'',''yyyy/mm/dd'') AND A.DOSID = B.VAL1','PII_POLICY3_CORE','KEY_REGIMPUTATION','REGID,RIMORDRE','B.KEY_NAME = ''KEY_REGIMPUTATION'' AND B.KEYMAP_ID = ''#KEYMAP_ID'' AND B.BASEDATE = TO_DATE(''#BASEDATE'',''yyyy/mm/dd'') AND A.#WHERECOL1 = B.VAL1 AND A.#WHERECOL2 = B.VAL2','AUTO',now(),now(),'member_it','member_it');</v>
      </c>
    </row>
    <row r="34" spans="1:21" s="14" customFormat="1" ht="13.5" x14ac:dyDescent="0.3">
      <c r="A34" s="12" t="s">
        <v>134</v>
      </c>
      <c r="B34" s="12" t="s">
        <v>24</v>
      </c>
      <c r="C34" s="12" t="s">
        <v>25</v>
      </c>
      <c r="D34" s="12" t="s">
        <v>136</v>
      </c>
      <c r="E34" s="12" t="s">
        <v>16</v>
      </c>
      <c r="F34" s="12" t="s">
        <v>71</v>
      </c>
      <c r="G34" s="12">
        <v>10</v>
      </c>
      <c r="H34" s="12">
        <f t="shared" si="0"/>
        <v>2300</v>
      </c>
      <c r="I34" s="12">
        <v>110</v>
      </c>
      <c r="J34" s="12" t="s">
        <v>15</v>
      </c>
      <c r="K34" s="12" t="s">
        <v>135</v>
      </c>
      <c r="L34" s="12" t="s">
        <v>86</v>
      </c>
      <c r="M34" s="12" t="s">
        <v>96</v>
      </c>
      <c r="N34" s="12" t="s">
        <v>97</v>
      </c>
      <c r="O34" s="12" t="s">
        <v>11</v>
      </c>
      <c r="P34" s="12">
        <v>4</v>
      </c>
      <c r="Q34" s="12" t="s">
        <v>79</v>
      </c>
      <c r="R34" s="12" t="str">
        <f>IF(A34="","","INSERT INTO COTDL.TBL_PIIKEYMAP"&amp;IF(AND(COUNTIF(H:H,H34)&gt;1,I34&lt;999),"_TMP","")&amp;"(KEYMAP_ID, DB, KEY_NAME, BASEDATE, CUSTID, VAL1, VAL2, EXPECTED_ARC_DEL_DATE) ")</f>
        <v xml:space="preserve">INSERT INTO COTDL.TBL_PIIKEYMAP_TMP(KEYMAP_ID, DB, KEY_NAME, BASEDATE, CUSTID, VAL1, VAL2, EXPECTED_ARC_DEL_DATE) </v>
      </c>
      <c r="S34" s="12" t="str">
        <f>"SELECT "&amp;IF(I34=999,"DISTINCT ","")&amp;"''"&amp;D33&amp;"'',''"&amp;K34&amp;"'',''"&amp;E34&amp;"'', TO_DATE(''#BASEDATE'',''yyyy/mm/dd''),"&amp;IF(I34=999," A.CUSTID, A.VAL1"&amp;IF(IFERROR(MID(J33&amp;","&amp;",",FIND(",",J33&amp;","&amp;",",1)+1,FIND(",",J33&amp;","&amp;",",FIND(",",J33&amp;","&amp;",",1)+1)-FIND(",",J33&amp;","&amp;",",1)-1),"")="","",", A.VAL2")&amp;IF(IFERROR(MID(J33&amp;",",FIND(",",J33&amp;",",FIND(",",J33&amp;",",1)+1)+1,FIND(",",J33&amp;",",FIND(",",J33&amp;",",FIND(",",J33&amp;",",1)+1)+1)-FIND(",",J33&amp;",",FIND(",",J33&amp;",",1)+1)-1),"")="","",", A.VAL3")&amp;IF(IFERROR(SUBSTITUTE(MID(J33&amp;",",FIND(",",J33&amp;",",FIND(",",J33&amp;",",FIND(",",J33&amp;",",1)+1)+1)+1,LEN(J33)),",",""),"")="","",", A.VAL4")&amp;""," B.CUSTID, A."&amp;SUBSTITUTE(J34,",",", A."))&amp;" , EXPECTED_ARC_DEL_DATE FROM "&amp;IF(I34=999, "COTDL.TBL_PIIKEYMAP_TMP A",L34&amp;"."&amp;M34&amp;" A, COTDL.TBL_PIIKEYMAP B")&amp;" WHERE" &amp;" "&amp; IF(I34=999,"DB = ''"&amp;K34&amp;"'' AND KEY_NAME = ''"&amp;E34&amp;"'' AND KEYMAP_ID = ''#KEYMAP_ID'' AND BASEDATE =TO_DATE(''#BASEDATE'',''yyyy/mm/dd'')", " "&amp;SUBSTITUTE(VLOOKUP(O34,E:T,16,FALSE),"#WHERECOL1",N34))</f>
        <v>SELECT ''PII_POLICY3_CORE'',''DAON'',''KEY_REGIMPUTATION'', TO_DATE(''#BASEDATE'',''yyyy/mm/dd''), B.CUSTID, A.REGID, A.RIMORDRE , EXPECTED_ARC_DEL_DATE FROM COOWNSER.REGIMPUTATION A, COTDL.TBL_PIIKEYMAP B WHERE  B.KEY_NAME = ''KEY_FACID'' AND B.KEYMAP_ID = ''#KEYMAP_ID'' AND B.BASEDATE = TO_DATE(''#BASEDATE'',''yyyy/mm/dd'') AND A.FACID = B.VAL1</v>
      </c>
      <c r="T34" s="12" t="str">
        <f t="shared" si="1"/>
        <v>B.KEY_NAME = ''KEY_REGIMPUTATION'' AND B.KEYMAP_ID = ''#KEYMAP_ID'' AND B.BASEDATE = TO_DATE(''#BASEDATE'',''yyyy/mm/dd'') AND A.#WHERECOL1 = B.VAL1 AND A.#WHERECOL2 = B.VAL2</v>
      </c>
      <c r="U34" s="15" t="str">
        <f t="shared" si="2"/>
        <v>INSERT INTO COTDL.TBL_PIISTEPTABLE VALUES('PII_POLICY3_DAON_CORE_DELETE','1','GEN_KEYMAP','DAON','COOWNSER','REGIMPUTATION',NULL, NULL,'KEYMAP',NULL,NULL,NULL,NULL,'10','2300','110',NULL,'입금상세','FACID','KEY_FACID','4',NULL,'SELECT ''PII_POLICY3_CORE'',''DAON'',''KEY_REGIMPUTATION'', TO_DATE(''#BASEDATE'',''yyyy/mm/dd''), B.CUSTID, A.REGID, A.RIMORDRE , EXPECTED_ARC_DEL_DATE FROM COOWNSER.REGIMPUTATION A, COTDL.TBL_PIIKEYMAP B WHERE  B.KEY_NAME = ''KEY_FACID'' AND B.KEYMAP_ID = ''#KEYMAP_ID'' AND B.BASEDATE = TO_DATE(''#BASEDATE'',''yyyy/mm/dd'') AND A.FACID = B.VAL1','INSERT INTO COTDL.TBL_PIIKEYMAP_TMP(KEYMAP_ID, DB, KEY_NAME, BASEDATE, CUSTID, VAL1, VAL2, EXPECTED_ARC_DEL_DATE) SELECT ''PII_POLICY3_CORE'',''DAON'',''KEY_REGIMPUTATION'', TO_DATE(''#BASEDATE'',''yyyy/mm/dd''), B.CUSTID, A.REGID, A.RIMORDRE , EXPECTED_ARC_DEL_DATE FROM COOWNSER.REGIMPUTATION A, COTDL.TBL_PIIKEYMAP B WHERE  B.KEY_NAME = ''KEY_FACID'' AND B.KEYMAP_ID = ''#KEYMAP_ID'' AND B.BASEDATE = TO_DATE(''#BASEDATE'',''yyyy/mm/dd'') AND A.FACID = B.VAL1','PII_POLICY3_CORE','KEY_REGIMPUTATION','REGID,RIMORDRE','B.KEY_NAME = ''KEY_REGIMPUTATION'' AND B.KEYMAP_ID = ''#KEYMAP_ID'' AND B.BASEDATE = TO_DATE(''#BASEDATE'',''yyyy/mm/dd'') AND A.#WHERECOL1 = B.VAL1 AND A.#WHERECOL2 = B.VAL2','AUTO',now(),now(),'member_it','member_it');</v>
      </c>
    </row>
    <row r="35" spans="1:21" s="14" customFormat="1" ht="13.5" x14ac:dyDescent="0.3">
      <c r="A35" s="12" t="s">
        <v>134</v>
      </c>
      <c r="B35" s="12" t="s">
        <v>24</v>
      </c>
      <c r="C35" s="12" t="s">
        <v>25</v>
      </c>
      <c r="D35" s="12" t="s">
        <v>136</v>
      </c>
      <c r="E35" s="12" t="s">
        <v>16</v>
      </c>
      <c r="F35" s="12" t="s">
        <v>71</v>
      </c>
      <c r="G35" s="12">
        <v>10</v>
      </c>
      <c r="H35" s="12">
        <f t="shared" si="0"/>
        <v>2300</v>
      </c>
      <c r="I35" s="12">
        <v>120</v>
      </c>
      <c r="J35" s="12" t="s">
        <v>15</v>
      </c>
      <c r="K35" s="12" t="s">
        <v>135</v>
      </c>
      <c r="L35" s="12" t="s">
        <v>86</v>
      </c>
      <c r="M35" s="12" t="s">
        <v>96</v>
      </c>
      <c r="N35" s="12" t="s">
        <v>98</v>
      </c>
      <c r="O35" s="12" t="s">
        <v>14</v>
      </c>
      <c r="P35" s="12">
        <v>4</v>
      </c>
      <c r="Q35" s="12" t="s">
        <v>79</v>
      </c>
      <c r="R35" s="12" t="str">
        <f>IF(A35="","","INSERT INTO COTDL.TBL_PIIKEYMAP"&amp;IF(AND(COUNTIF(H:H,H35)&gt;1,I35&lt;999),"_TMP","")&amp;"(KEYMAP_ID, DB, KEY_NAME, BASEDATE, CUSTID, VAL1, VAL2, EXPECTED_ARC_DEL_DATE) ")</f>
        <v xml:space="preserve">INSERT INTO COTDL.TBL_PIIKEYMAP_TMP(KEYMAP_ID, DB, KEY_NAME, BASEDATE, CUSTID, VAL1, VAL2, EXPECTED_ARC_DEL_DATE) </v>
      </c>
      <c r="S35" s="12" t="str">
        <f>"SELECT "&amp;IF(I35=999,"DISTINCT ","")&amp;"''"&amp;D34&amp;"'',''"&amp;K35&amp;"'',''"&amp;E35&amp;"'', TO_DATE(''#BASEDATE'',''yyyy/mm/dd''),"&amp;IF(I35=999," A.CUSTID, A.VAL1"&amp;IF(IFERROR(MID(J34&amp;","&amp;",",FIND(",",J34&amp;","&amp;",",1)+1,FIND(",",J34&amp;","&amp;",",FIND(",",J34&amp;","&amp;",",1)+1)-FIND(",",J34&amp;","&amp;",",1)-1),"")="","",", A.VAL2")&amp;IF(IFERROR(MID(J34&amp;",",FIND(",",J34&amp;",",FIND(",",J34&amp;",",1)+1)+1,FIND(",",J34&amp;",",FIND(",",J34&amp;",",FIND(",",J34&amp;",",1)+1)+1)-FIND(",",J34&amp;",",FIND(",",J34&amp;",",1)+1)-1),"")="","",", A.VAL3")&amp;IF(IFERROR(SUBSTITUTE(MID(J34&amp;",",FIND(",",J34&amp;",",FIND(",",J34&amp;",",FIND(",",J34&amp;",",1)+1)+1)+1,LEN(J34)),",",""),"")="","",", A.VAL4")&amp;""," B.CUSTID, A."&amp;SUBSTITUTE(J35,",",", A."))&amp;" , EXPECTED_ARC_DEL_DATE FROM "&amp;IF(I35=999, "COTDL.TBL_PIIKEYMAP_TMP A",L35&amp;"."&amp;M35&amp;" A, COTDL.TBL_PIIKEYMAP B")&amp;" WHERE" &amp;" "&amp; IF(I35=999,"DB = ''"&amp;K35&amp;"'' AND KEY_NAME = ''"&amp;E35&amp;"'' AND KEYMAP_ID = ''#KEYMAP_ID'' AND BASEDATE =TO_DATE(''#BASEDATE'',''yyyy/mm/dd'')", " "&amp;SUBSTITUTE(VLOOKUP(O35,E:T,16,FALSE),"#WHERECOL1",N35))</f>
        <v>SELECT ''PII_POLICY3_CORE'',''DAON'',''KEY_REGIMPUTATION'', TO_DATE(''#BASEDATE'',''yyyy/mm/dd''), B.CUSTID, A.REGID, A.RIMORDRE , EXPECTED_ARC_DEL_DATE FROM COOWNSER.REGIMPUTATION A, COTDL.TBL_PIIKEYMAP B WHERE  B.KEY_NAME = ''KEY_DEPID'' AND B.KEYMAP_ID = ''#KEYMAP_ID'' AND B.BASEDATE = TO_DATE(''#BASEDATE'',''yyyy/mm/dd'') AND A.DEPID = B.VAL1</v>
      </c>
      <c r="T35" s="12" t="str">
        <f t="shared" si="1"/>
        <v>B.KEY_NAME = ''KEY_REGIMPUTATION'' AND B.KEYMAP_ID = ''#KEYMAP_ID'' AND B.BASEDATE = TO_DATE(''#BASEDATE'',''yyyy/mm/dd'') AND A.#WHERECOL1 = B.VAL1 AND A.#WHERECOL2 = B.VAL2</v>
      </c>
      <c r="U35" s="15" t="str">
        <f t="shared" si="2"/>
        <v>INSERT INTO COTDL.TBL_PIISTEPTABLE VALUES('PII_POLICY3_DAON_CORE_DELETE','1','GEN_KEYMAP','DAON','COOWNSER','REGIMPUTATION',NULL, NULL,'KEYMAP',NULL,NULL,NULL,NULL,'10','2300','120',NULL,'입금상세','DEPID','KEY_DEPID','4',NULL,'SELECT ''PII_POLICY3_CORE'',''DAON'',''KEY_REGIMPUTATION'', TO_DATE(''#BASEDATE'',''yyyy/mm/dd''), B.CUSTID, A.REGID, A.RIMORDRE , EXPECTED_ARC_DEL_DATE FROM COOWNSER.REGIMPUTATION A, COTDL.TBL_PIIKEYMAP B WHERE  B.KEY_NAME = ''KEY_DEPID'' AND B.KEYMAP_ID = ''#KEYMAP_ID'' AND B.BASEDATE = TO_DATE(''#BASEDATE'',''yyyy/mm/dd'') AND A.DEPID = B.VAL1','INSERT INTO COTDL.TBL_PIIKEYMAP_TMP(KEYMAP_ID, DB, KEY_NAME, BASEDATE, CUSTID, VAL1, VAL2, EXPECTED_ARC_DEL_DATE) SELECT ''PII_POLICY3_CORE'',''DAON'',''KEY_REGIMPUTATION'', TO_DATE(''#BASEDATE'',''yyyy/mm/dd''), B.CUSTID, A.REGID, A.RIMORDRE , EXPECTED_ARC_DEL_DATE FROM COOWNSER.REGIMPUTATION A, COTDL.TBL_PIIKEYMAP B WHERE  B.KEY_NAME = ''KEY_DEPID'' AND B.KEYMAP_ID = ''#KEYMAP_ID'' AND B.BASEDATE = TO_DATE(''#BASEDATE'',''yyyy/mm/dd'') AND A.DEPID = B.VAL1','PII_POLICY3_CORE','KEY_REGIMPUTATION','REGID,RIMORDRE','B.KEY_NAME = ''KEY_REGIMPUTATION'' AND B.KEYMAP_ID = ''#KEYMAP_ID'' AND B.BASEDATE = TO_DATE(''#BASEDATE'',''yyyy/mm/dd'') AND A.#WHERECOL1 = B.VAL1 AND A.#WHERECOL2 = B.VAL2','AUTO',now(),now(),'member_it','member_it');</v>
      </c>
    </row>
    <row r="36" spans="1:21" s="7" customFormat="1" ht="13.5" x14ac:dyDescent="0.3">
      <c r="A36" s="11" t="s">
        <v>134</v>
      </c>
      <c r="B36" s="6" t="s">
        <v>24</v>
      </c>
      <c r="C36" s="6" t="s">
        <v>25</v>
      </c>
      <c r="D36" s="11" t="s">
        <v>136</v>
      </c>
      <c r="E36" s="6" t="s">
        <v>16</v>
      </c>
      <c r="F36" s="6" t="s">
        <v>71</v>
      </c>
      <c r="G36" s="6">
        <v>10</v>
      </c>
      <c r="H36" s="6">
        <f t="shared" ref="H36" si="3">IF(E35&lt;&gt;E36,100+H35,H35)</f>
        <v>2300</v>
      </c>
      <c r="I36" s="6">
        <v>999</v>
      </c>
      <c r="J36" s="6" t="s">
        <v>15</v>
      </c>
      <c r="K36" s="6" t="s">
        <v>135</v>
      </c>
      <c r="L36" s="6" t="s">
        <v>75</v>
      </c>
      <c r="M36" s="6" t="s">
        <v>81</v>
      </c>
      <c r="N36" s="6"/>
      <c r="O36" s="6" t="s">
        <v>12</v>
      </c>
      <c r="P36" s="6">
        <v>4</v>
      </c>
      <c r="Q36" s="6" t="s">
        <v>79</v>
      </c>
      <c r="R36" s="12" t="str">
        <f>IF(A36="","","INSERT INTO COTDL.TBL_PIIKEYMAP"&amp;IF(AND(COUNTIF(H:H,H36)&gt;1,I36&lt;999),"_TMP","")&amp;"(KEYMAP_ID, DB, KEY_NAME, BASEDATE, CUSTID, VAL1, VAL2, EXPECTED_ARC_DEL_DATE) ")</f>
        <v xml:space="preserve">INSERT INTO COTDL.TBL_PIIKEYMAP(KEYMAP_ID, DB, KEY_NAME, BASEDATE, CUSTID, VAL1, VAL2, EXPECTED_ARC_DEL_DATE) </v>
      </c>
      <c r="S36" s="6" t="str">
        <f>"SELECT "&amp;IF(I36=999,"DISTINCT ","")&amp;"''"&amp;D35&amp;"'',''"&amp;K36&amp;"'',''"&amp;E36&amp;"'', TO_DATE(''#BASEDATE'',''yyyy/mm/dd''),"&amp;IF(I36=999," A.CUSTID, A.VAL1"&amp;IF(IFERROR(MID(J35&amp;","&amp;",",FIND(",",J35&amp;","&amp;",",1)+1,FIND(",",J35&amp;","&amp;",",FIND(",",J35&amp;","&amp;",",1)+1)-FIND(",",J35&amp;","&amp;",",1)-1),"")="","",", A.VAL2")&amp;IF(IFERROR(MID(J35&amp;",",FIND(",",J35&amp;",",FIND(",",J35&amp;",",1)+1)+1,FIND(",",J35&amp;",",FIND(",",J35&amp;",",FIND(",",J35&amp;",",1)+1)+1)-FIND(",",J35&amp;",",FIND(",",J35&amp;",",1)+1)-1),"")="","",", A.VAL3")&amp;IF(IFERROR(SUBSTITUTE(MID(J35&amp;",",FIND(",",J35&amp;",",FIND(",",J35&amp;",",FIND(",",J35&amp;",",1)+1)+1)+1,LEN(J35)),",",""),"")="","",", A.VAL4")&amp;""," B.CUSTID, A."&amp;SUBSTITUTE(J36,",",", A."))&amp;" , EXPECTED_ARC_DEL_DATE FROM "&amp;IF(I36=999, "COTDL.TBL_PIIKEYMAP_TMP A",L36&amp;"."&amp;M36&amp;" A, COTDL.TBL_PIIKEYMAP B")&amp;" WHERE" &amp;" "&amp; IF(I36=999,"DB = ''"&amp;K36&amp;"'' AND KEY_NAME = ''"&amp;E36&amp;"'' AND KEYMAP_ID = ''#KEYMAP_ID'' AND BASEDATE =TO_DATE(''#BASEDATE'',''yyyy/mm/dd'')", " "&amp;SUBSTITUTE(VLOOKUP(O36,E:T,16,FALSE),"#WHERECOL1",N36))</f>
        <v>SELECT DISTINCT ''PII_POLICY3_CORE'',''DAON'',''KEY_REGIMPUTATION'', TO_DATE(''#BASEDATE'',''yyyy/mm/dd''), A.CUSTID, A.VAL1, A.VAL2 , EXPECTED_ARC_DEL_DATE FROM COTDL.TBL_PIIKEYMAP_TMP A WHERE DB = ''DAON'' AND KEY_NAME = ''KEY_REGIMPUTATION'' AND KEYMAP_ID = ''#KEYMAP_ID'' AND BASEDATE =TO_DATE(''#BASEDATE'',''yyyy/mm/dd'')</v>
      </c>
      <c r="T36" s="6" t="str">
        <f t="shared" si="1"/>
        <v>B.KEY_NAME = ''KEY_REGIMPUTATION'' AND B.KEYMAP_ID = ''#KEYMAP_ID'' AND B.BASEDATE = TO_DATE(''#BASEDATE'',''yyyy/mm/dd'') AND A.#WHERECOL1 = B.VAL1 AND A.#WHERECOL2 = B.VAL2</v>
      </c>
      <c r="U36" s="16" t="str">
        <f t="shared" si="2"/>
        <v>INSERT INTO COTDL.TBL_PIISTEPTABLE VALUES('PII_POLICY3_DAON_CORE_DELETE','1','GEN_KEYMAP','DAON','COTDL','TBL_PIIKEYMAP_TMP',NULL, NULL,'KEYMAP',NULL,NULL,NULL,NULL,'10','2300','999',NULL,'입금상세','','','4',NULL,'SELECT DISTINCT ''PII_POLICY3_CORE'',''DAON'',''KEY_REGIMPUTATION'', TO_DATE(''#BASEDATE'',''yyyy/mm/dd''), A.CUSTID, A.VAL1, A.VAL2 , EXPECTED_ARC_DEL_DATE FROM COTDL.TBL_PIIKEYMAP_TMP A WHERE DB = ''DAON'' AND KEY_NAME = ''KEY_REGIMPUTATION'' AND KEYMAP_ID = ''#KEYMAP_ID'' AND BASEDATE =TO_DATE(''#BASEDATE'',''yyyy/mm/dd'')','INSERT INTO COTDL.TBL_PIIKEYMAP(KEYMAP_ID, DB, KEY_NAME, BASEDATE, CUSTID, VAL1, VAL2, EXPECTED_ARC_DEL_DATE) SELECT DISTINCT ''PII_POLICY3_CORE'',''DAON'',''KEY_REGIMPUTATION'', TO_DATE(''#BASEDATE'',''yyyy/mm/dd''), A.CUSTID, A.VAL1, A.VAL2 , EXPECTED_ARC_DEL_DATE FROM COTDL.TBL_PIIKEYMAP_TMP A WHERE DB = ''DAON'' AND KEY_NAME = ''KEY_REGIMPUTATION'' AND KEYMAP_ID = ''#KEYMAP_ID'' AND BASEDATE =TO_DATE(''#BASEDATE'',''yyyy/mm/dd'')','PII_POLICY3_CORE','KEY_REGIMPUTATION','REGID,RIMORDRE','B.KEY_NAME = ''KEY_REGIMPUTATION'' AND B.KEYMAP_ID = ''#KEYMAP_ID'' AND B.BASEDATE = TO_DATE(''#BASEDATE'',''yyyy/mm/dd'') AND A.#WHERECOL1 = B.VAL1 AND A.#WHERECOL2 = B.VAL2','AUTO',now(),now(),'member_it','member_it');</v>
      </c>
    </row>
  </sheetData>
  <phoneticPr fontId="9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2021-12-28T10:46:24Z</dcterms:created>
  <dcterms:modified xsi:type="dcterms:W3CDTF">2022-12-12T01:55:21Z</dcterms:modified>
</cp:coreProperties>
</file>