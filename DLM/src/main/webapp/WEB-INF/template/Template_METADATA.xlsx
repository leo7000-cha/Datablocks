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73D0DD92-466A-4E52-9241-26F79AFB99D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Meta Data" sheetId="1" r:id="rId1"/>
    <sheet name="(참조) 개인정보코드" sheetId="3" r:id="rId2"/>
  </sheets>
  <definedNames>
    <definedName name="_xlnm._FilterDatabase" localSheetId="1" hidden="1">'(참조) 개인정보코드'!$A$1:$O$52</definedName>
  </definedNames>
  <calcPr calcId="191029"/>
</workbook>
</file>

<file path=xl/calcChain.xml><?xml version="1.0" encoding="utf-8"?>
<calcChain xmlns="http://schemas.openxmlformats.org/spreadsheetml/2006/main">
  <c r="I53" i="3" l="1"/>
  <c r="P53" i="3" s="1"/>
  <c r="G53" i="3"/>
  <c r="E53" i="3"/>
  <c r="C53" i="3"/>
  <c r="I52" i="3"/>
  <c r="P52" i="3" s="1"/>
  <c r="G52" i="3"/>
  <c r="E52" i="3"/>
  <c r="C52" i="3"/>
  <c r="D52" i="3" s="1"/>
  <c r="I51" i="3"/>
  <c r="P51" i="3" s="1"/>
  <c r="G51" i="3"/>
  <c r="E51" i="3"/>
  <c r="C51" i="3"/>
  <c r="D51" i="3" s="1"/>
  <c r="Q51" i="3" s="1"/>
  <c r="I50" i="3"/>
  <c r="P50" i="3" s="1"/>
  <c r="G50" i="3"/>
  <c r="E50" i="3"/>
  <c r="C50" i="3"/>
  <c r="D50" i="3" s="1"/>
  <c r="Q50" i="3" s="1"/>
  <c r="I49" i="3"/>
  <c r="P49" i="3" s="1"/>
  <c r="G49" i="3"/>
  <c r="E49" i="3"/>
  <c r="D49" i="3"/>
  <c r="C49" i="3"/>
  <c r="Q49" i="3" s="1"/>
  <c r="I48" i="3"/>
  <c r="P48" i="3" s="1"/>
  <c r="G48" i="3"/>
  <c r="E48" i="3"/>
  <c r="D48" i="3"/>
  <c r="Q48" i="3" s="1"/>
  <c r="C48" i="3"/>
  <c r="I47" i="3"/>
  <c r="P47" i="3" s="1"/>
  <c r="G47" i="3"/>
  <c r="E47" i="3"/>
  <c r="D47" i="3"/>
  <c r="Q47" i="3" s="1"/>
  <c r="C47" i="3"/>
  <c r="P46" i="3"/>
  <c r="I46" i="3"/>
  <c r="G46" i="3"/>
  <c r="E46" i="3"/>
  <c r="D46" i="3"/>
  <c r="Q46" i="3" s="1"/>
  <c r="C46" i="3"/>
  <c r="P45" i="3"/>
  <c r="I45" i="3"/>
  <c r="G45" i="3"/>
  <c r="E45" i="3"/>
  <c r="C45" i="3"/>
  <c r="D45" i="3" s="1"/>
  <c r="P44" i="3"/>
  <c r="I44" i="3"/>
  <c r="G44" i="3"/>
  <c r="E44" i="3"/>
  <c r="C44" i="3"/>
  <c r="P43" i="3"/>
  <c r="I43" i="3"/>
  <c r="G43" i="3"/>
  <c r="E43" i="3"/>
  <c r="C43" i="3"/>
  <c r="D43" i="3" s="1"/>
  <c r="P42" i="3"/>
  <c r="I42" i="3"/>
  <c r="G42" i="3"/>
  <c r="E42" i="3"/>
  <c r="C42" i="3"/>
  <c r="I41" i="3"/>
  <c r="P41" i="3" s="1"/>
  <c r="G41" i="3"/>
  <c r="E41" i="3"/>
  <c r="C41" i="3"/>
  <c r="I40" i="3"/>
  <c r="P40" i="3" s="1"/>
  <c r="G40" i="3"/>
  <c r="E40" i="3"/>
  <c r="C40" i="3"/>
  <c r="D40" i="3" s="1"/>
  <c r="I39" i="3"/>
  <c r="P39" i="3" s="1"/>
  <c r="G39" i="3"/>
  <c r="E39" i="3"/>
  <c r="C39" i="3"/>
  <c r="D39" i="3" s="1"/>
  <c r="Q39" i="3" s="1"/>
  <c r="Q38" i="3"/>
  <c r="I38" i="3"/>
  <c r="P38" i="3" s="1"/>
  <c r="G38" i="3"/>
  <c r="E38" i="3"/>
  <c r="D38" i="3"/>
  <c r="C38" i="3"/>
  <c r="I37" i="3"/>
  <c r="P37" i="3" s="1"/>
  <c r="G37" i="3"/>
  <c r="E37" i="3"/>
  <c r="D37" i="3"/>
  <c r="Q37" i="3" s="1"/>
  <c r="C37" i="3"/>
  <c r="I36" i="3"/>
  <c r="P36" i="3" s="1"/>
  <c r="G36" i="3"/>
  <c r="E36" i="3"/>
  <c r="D36" i="3"/>
  <c r="Q36" i="3" s="1"/>
  <c r="C36" i="3"/>
  <c r="I35" i="3"/>
  <c r="P35" i="3" s="1"/>
  <c r="G35" i="3"/>
  <c r="Q35" i="3" s="1"/>
  <c r="E35" i="3"/>
  <c r="D35" i="3"/>
  <c r="C35" i="3"/>
  <c r="P34" i="3"/>
  <c r="I34" i="3"/>
  <c r="G34" i="3"/>
  <c r="E34" i="3"/>
  <c r="D34" i="3"/>
  <c r="Q34" i="3" s="1"/>
  <c r="C34" i="3"/>
  <c r="P33" i="3"/>
  <c r="I33" i="3"/>
  <c r="G33" i="3"/>
  <c r="E33" i="3"/>
  <c r="C33" i="3"/>
  <c r="D33" i="3" s="1"/>
  <c r="P32" i="3"/>
  <c r="I32" i="3"/>
  <c r="G32" i="3"/>
  <c r="E32" i="3"/>
  <c r="C32" i="3"/>
  <c r="P31" i="3"/>
  <c r="I31" i="3"/>
  <c r="G31" i="3"/>
  <c r="E31" i="3"/>
  <c r="C31" i="3"/>
  <c r="D31" i="3" s="1"/>
  <c r="P30" i="3"/>
  <c r="I30" i="3"/>
  <c r="G30" i="3"/>
  <c r="E30" i="3"/>
  <c r="C30" i="3"/>
  <c r="I29" i="3"/>
  <c r="P29" i="3" s="1"/>
  <c r="G29" i="3"/>
  <c r="E29" i="3"/>
  <c r="C29" i="3"/>
  <c r="I28" i="3"/>
  <c r="P28" i="3" s="1"/>
  <c r="G28" i="3"/>
  <c r="E28" i="3"/>
  <c r="C28" i="3"/>
  <c r="D28" i="3" s="1"/>
  <c r="I27" i="3"/>
  <c r="P27" i="3" s="1"/>
  <c r="G27" i="3"/>
  <c r="E27" i="3"/>
  <c r="C27" i="3"/>
  <c r="D27" i="3" s="1"/>
  <c r="Q27" i="3" s="1"/>
  <c r="Q26" i="3"/>
  <c r="I26" i="3"/>
  <c r="P26" i="3" s="1"/>
  <c r="G26" i="3"/>
  <c r="E26" i="3"/>
  <c r="D26" i="3"/>
  <c r="C26" i="3"/>
  <c r="I25" i="3"/>
  <c r="P25" i="3" s="1"/>
  <c r="G25" i="3"/>
  <c r="E25" i="3"/>
  <c r="D25" i="3"/>
  <c r="Q25" i="3" s="1"/>
  <c r="C25" i="3"/>
  <c r="I24" i="3"/>
  <c r="P24" i="3" s="1"/>
  <c r="G24" i="3"/>
  <c r="E24" i="3"/>
  <c r="D24" i="3"/>
  <c r="Q24" i="3" s="1"/>
  <c r="C24" i="3"/>
  <c r="I23" i="3"/>
  <c r="P23" i="3" s="1"/>
  <c r="G23" i="3"/>
  <c r="Q23" i="3" s="1"/>
  <c r="E23" i="3"/>
  <c r="D23" i="3"/>
  <c r="C23" i="3"/>
  <c r="P22" i="3"/>
  <c r="I22" i="3"/>
  <c r="G22" i="3"/>
  <c r="E22" i="3"/>
  <c r="D22" i="3"/>
  <c r="Q22" i="3" s="1"/>
  <c r="C22" i="3"/>
  <c r="P21" i="3"/>
  <c r="I21" i="3"/>
  <c r="G21" i="3"/>
  <c r="E21" i="3"/>
  <c r="C21" i="3"/>
  <c r="D21" i="3" s="1"/>
  <c r="P20" i="3"/>
  <c r="I20" i="3"/>
  <c r="G20" i="3"/>
  <c r="E20" i="3"/>
  <c r="C20" i="3"/>
  <c r="P19" i="3"/>
  <c r="I19" i="3"/>
  <c r="G19" i="3"/>
  <c r="E19" i="3"/>
  <c r="C19" i="3"/>
  <c r="D19" i="3" s="1"/>
  <c r="K18" i="3"/>
  <c r="I18" i="3" s="1"/>
  <c r="P18" i="3" s="1"/>
  <c r="G18" i="3"/>
  <c r="E18" i="3"/>
  <c r="D18" i="3"/>
  <c r="C18" i="3"/>
  <c r="P17" i="3"/>
  <c r="I17" i="3"/>
  <c r="G17" i="3"/>
  <c r="E17" i="3"/>
  <c r="D17" i="3"/>
  <c r="C17" i="3"/>
  <c r="Q17" i="3" s="1"/>
  <c r="P16" i="3"/>
  <c r="I16" i="3"/>
  <c r="G16" i="3"/>
  <c r="E16" i="3"/>
  <c r="C16" i="3"/>
  <c r="D16" i="3" s="1"/>
  <c r="P15" i="3"/>
  <c r="I15" i="3"/>
  <c r="G15" i="3"/>
  <c r="E15" i="3"/>
  <c r="C15" i="3"/>
  <c r="P14" i="3"/>
  <c r="I14" i="3"/>
  <c r="G14" i="3"/>
  <c r="E14" i="3"/>
  <c r="C14" i="3"/>
  <c r="D14" i="3" s="1"/>
  <c r="P13" i="3"/>
  <c r="I13" i="3"/>
  <c r="G13" i="3"/>
  <c r="E13" i="3"/>
  <c r="C13" i="3"/>
  <c r="I12" i="3"/>
  <c r="P12" i="3" s="1"/>
  <c r="G12" i="3"/>
  <c r="E12" i="3"/>
  <c r="C12" i="3"/>
  <c r="I11" i="3"/>
  <c r="P11" i="3" s="1"/>
  <c r="G11" i="3"/>
  <c r="E11" i="3"/>
  <c r="D11" i="3"/>
  <c r="Q11" i="3" s="1"/>
  <c r="C11" i="3"/>
  <c r="I10" i="3"/>
  <c r="P10" i="3" s="1"/>
  <c r="G10" i="3"/>
  <c r="E10" i="3"/>
  <c r="C10" i="3"/>
  <c r="D10" i="3" s="1"/>
  <c r="Q10" i="3" s="1"/>
  <c r="Q9" i="3"/>
  <c r="I9" i="3"/>
  <c r="P9" i="3" s="1"/>
  <c r="G9" i="3"/>
  <c r="E9" i="3"/>
  <c r="D9" i="3"/>
  <c r="C9" i="3"/>
  <c r="I8" i="3"/>
  <c r="P8" i="3" s="1"/>
  <c r="G8" i="3"/>
  <c r="E8" i="3"/>
  <c r="D8" i="3"/>
  <c r="Q8" i="3" s="1"/>
  <c r="C8" i="3"/>
  <c r="P7" i="3"/>
  <c r="I7" i="3"/>
  <c r="G7" i="3"/>
  <c r="E7" i="3"/>
  <c r="D7" i="3"/>
  <c r="Q7" i="3" s="1"/>
  <c r="C7" i="3"/>
  <c r="I6" i="3"/>
  <c r="P6" i="3" s="1"/>
  <c r="G6" i="3"/>
  <c r="Q6" i="3" s="1"/>
  <c r="E6" i="3"/>
  <c r="D6" i="3"/>
  <c r="C6" i="3"/>
  <c r="P5" i="3"/>
  <c r="I5" i="3"/>
  <c r="G5" i="3"/>
  <c r="E5" i="3"/>
  <c r="D5" i="3"/>
  <c r="C5" i="3"/>
  <c r="Q5" i="3" s="1"/>
  <c r="P4" i="3"/>
  <c r="I4" i="3"/>
  <c r="G4" i="3"/>
  <c r="E4" i="3"/>
  <c r="C4" i="3"/>
  <c r="D4" i="3" s="1"/>
  <c r="P3" i="3"/>
  <c r="I3" i="3"/>
  <c r="G3" i="3"/>
  <c r="E3" i="3"/>
  <c r="C3" i="3"/>
  <c r="P2" i="3"/>
  <c r="I2" i="3"/>
  <c r="G2" i="3"/>
  <c r="E2" i="3"/>
  <c r="C2" i="3"/>
  <c r="D2" i="3" s="1"/>
  <c r="Q18" i="3" l="1"/>
  <c r="Q53" i="3"/>
  <c r="Q20" i="3"/>
  <c r="Q12" i="3"/>
  <c r="Q2" i="3"/>
  <c r="D13" i="3"/>
  <c r="Q13" i="3" s="1"/>
  <c r="Q14" i="3"/>
  <c r="Q19" i="3"/>
  <c r="D30" i="3"/>
  <c r="Q30" i="3" s="1"/>
  <c r="Q31" i="3"/>
  <c r="D42" i="3"/>
  <c r="Q42" i="3" s="1"/>
  <c r="Q43" i="3"/>
  <c r="D3" i="3"/>
  <c r="Q3" i="3" s="1"/>
  <c r="Q4" i="3"/>
  <c r="D15" i="3"/>
  <c r="Q15" i="3" s="1"/>
  <c r="Q16" i="3"/>
  <c r="D20" i="3"/>
  <c r="Q21" i="3"/>
  <c r="D32" i="3"/>
  <c r="Q32" i="3" s="1"/>
  <c r="Q33" i="3"/>
  <c r="D44" i="3"/>
  <c r="Q44" i="3" s="1"/>
  <c r="Q45" i="3"/>
  <c r="Q28" i="3"/>
  <c r="Q40" i="3"/>
  <c r="Q52" i="3"/>
  <c r="D12" i="3"/>
  <c r="D29" i="3"/>
  <c r="Q29" i="3" s="1"/>
  <c r="D41" i="3"/>
  <c r="Q41" i="3" s="1"/>
  <c r="D5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I28" authorId="0" shapeId="0" xr:uid="{8C4602E8-5C35-44EF-9512-2860432CDB0C}">
      <text>
        <r>
          <rPr>
            <b/>
            <sz val="9"/>
            <color indexed="81"/>
            <rFont val="Tahoma"/>
            <family val="2"/>
          </rPr>
          <t xml:space="preserve">4/29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>..</t>
        </r>
      </text>
    </comment>
    <comment ref="I53" authorId="0" shapeId="0" xr:uid="{EC7D3A8E-9FA2-4B8C-9325-AA7BCCF2C914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추가함
</t>
        </r>
      </text>
    </comment>
  </commentList>
</comments>
</file>

<file path=xl/sharedStrings.xml><?xml version="1.0" encoding="utf-8"?>
<sst xmlns="http://schemas.openxmlformats.org/spreadsheetml/2006/main" count="333" uniqueCount="180">
  <si>
    <t>DB</t>
  </si>
  <si>
    <t>Owner</t>
  </si>
  <si>
    <t>컬럼명</t>
  </si>
  <si>
    <t>COL_ID</t>
  </si>
  <si>
    <t>PK여부</t>
  </si>
  <si>
    <t>DATA_TYPE</t>
  </si>
  <si>
    <t>LENGTH</t>
  </si>
  <si>
    <t>도메인</t>
  </si>
  <si>
    <t>개인정보타입</t>
  </si>
  <si>
    <t>개인정보등급</t>
  </si>
  <si>
    <t>암호화여부</t>
  </si>
  <si>
    <t>변환타입</t>
  </si>
  <si>
    <t>NO</t>
    <phoneticPr fontId="2" type="noConversion"/>
  </si>
  <si>
    <t>Column</t>
    <phoneticPr fontId="2" type="noConversion"/>
  </si>
  <si>
    <t>Table</t>
    <phoneticPr fontId="2" type="noConversion"/>
  </si>
  <si>
    <t>TABLE META DATA</t>
    <phoneticPr fontId="2" type="noConversion"/>
  </si>
  <si>
    <t>부모 테이블 키</t>
  </si>
  <si>
    <t>부모 테이블 여부</t>
  </si>
  <si>
    <t>파기제외여부</t>
  </si>
  <si>
    <t>NO</t>
    <phoneticPr fontId="8" type="noConversion"/>
  </si>
  <si>
    <t>개인정보코드</t>
    <phoneticPr fontId="8" type="noConversion"/>
  </si>
  <si>
    <t>개인정보등급ID</t>
    <phoneticPr fontId="8" type="noConversion"/>
  </si>
  <si>
    <t>개인정보등급명</t>
    <phoneticPr fontId="8" type="noConversion"/>
  </si>
  <si>
    <t>개인정보그룹 ID</t>
    <phoneticPr fontId="8" type="noConversion"/>
  </si>
  <si>
    <t>개인정보그룹명</t>
    <phoneticPr fontId="8" type="noConversion"/>
  </si>
  <si>
    <t>개인정보타입ID</t>
    <phoneticPr fontId="8" type="noConversion"/>
  </si>
  <si>
    <t>개인정보타입명</t>
    <phoneticPr fontId="8" type="noConversion"/>
  </si>
  <si>
    <t>변환타입</t>
    <phoneticPr fontId="8" type="noConversion"/>
  </si>
  <si>
    <t>변환방식</t>
    <phoneticPr fontId="8" type="noConversion"/>
  </si>
  <si>
    <t>변환종류</t>
    <phoneticPr fontId="8" type="noConversion"/>
  </si>
  <si>
    <t>변환자리수</t>
    <phoneticPr fontId="8" type="noConversion"/>
  </si>
  <si>
    <t>변환유효성</t>
    <phoneticPr fontId="8" type="noConversion"/>
  </si>
  <si>
    <t>비고</t>
    <phoneticPr fontId="8" type="noConversion"/>
  </si>
  <si>
    <t xml:space="preserve">delete from cotdl.TBL_LKPIISCRTYPE;  </t>
  </si>
  <si>
    <t>1_1_rrn</t>
    <phoneticPr fontId="8" type="noConversion"/>
  </si>
  <si>
    <t>생명·신체에 중대한 위해를 초래할 우려가 있는 정보</t>
    <phoneticPr fontId="8" type="noConversion"/>
  </si>
  <si>
    <t>주민/외국인등록번호</t>
    <phoneticPr fontId="8" type="noConversion"/>
  </si>
  <si>
    <t>SCRAMBLE</t>
    <phoneticPr fontId="8" type="noConversion"/>
  </si>
  <si>
    <t>RRN</t>
    <phoneticPr fontId="8" type="noConversion"/>
  </si>
  <si>
    <t>AFTER7</t>
  </si>
  <si>
    <t>ALL =&gt;1,2,7번째만 빼고
AFTER7 =&gt; 7개 숫자 이후 (7은 고정)</t>
    <phoneticPr fontId="8" type="noConversion"/>
  </si>
  <si>
    <t>1_1_passport</t>
  </si>
  <si>
    <t>여권번호</t>
    <phoneticPr fontId="8" type="noConversion"/>
  </si>
  <si>
    <t>NORMAL</t>
    <phoneticPr fontId="8" type="noConversion"/>
  </si>
  <si>
    <t>AFTER2</t>
    <phoneticPr fontId="8" type="noConversion"/>
  </si>
  <si>
    <r>
      <rPr>
        <sz val="11"/>
        <color rgb="FFFF0000"/>
        <rFont val="맑은 고딕"/>
        <family val="3"/>
        <charset val="129"/>
        <scheme val="minor"/>
      </rPr>
      <t>01</t>
    </r>
    <r>
      <rPr>
        <sz val="11"/>
        <color indexed="8"/>
        <rFont val="맑은 고딕"/>
        <family val="2"/>
        <scheme val="minor"/>
      </rPr>
      <t>23456789</t>
    </r>
    <phoneticPr fontId="8" type="noConversion"/>
  </si>
  <si>
    <t>1_1_driverLicense</t>
  </si>
  <si>
    <t>운전면허번호</t>
    <phoneticPr fontId="8" type="noConversion"/>
  </si>
  <si>
    <t>AFTER3</t>
    <phoneticPr fontId="8" type="noConversion"/>
  </si>
  <si>
    <r>
      <rPr>
        <sz val="11"/>
        <color rgb="FFFF0000"/>
        <rFont val="맑은 고딕"/>
        <family val="3"/>
        <charset val="129"/>
        <scheme val="minor"/>
      </rPr>
      <t>012</t>
    </r>
    <r>
      <rPr>
        <sz val="11"/>
        <color indexed="8"/>
        <rFont val="맑은 고딕"/>
        <family val="2"/>
        <scheme val="minor"/>
      </rPr>
      <t>3456789</t>
    </r>
    <phoneticPr fontId="8" type="noConversion"/>
  </si>
  <si>
    <t>1_1_governmentID</t>
  </si>
  <si>
    <t>공무원증번호</t>
    <phoneticPr fontId="8" type="noConversion"/>
  </si>
  <si>
    <r>
      <rPr>
        <sz val="11"/>
        <color rgb="FFFF0000"/>
        <rFont val="맑은 고딕"/>
        <family val="3"/>
        <charset val="129"/>
        <scheme val="minor"/>
      </rPr>
      <t>012</t>
    </r>
    <r>
      <rPr>
        <sz val="11"/>
        <rFont val="맑은 고딕"/>
        <family val="3"/>
        <charset val="129"/>
        <scheme val="minor"/>
      </rPr>
      <t>3</t>
    </r>
    <r>
      <rPr>
        <sz val="11"/>
        <color indexed="8"/>
        <rFont val="맑은 고딕"/>
        <family val="2"/>
        <scheme val="minor"/>
      </rPr>
      <t>456789</t>
    </r>
    <phoneticPr fontId="8" type="noConversion"/>
  </si>
  <si>
    <t>1_2_beliefs</t>
  </si>
  <si>
    <t>민감정보</t>
  </si>
  <si>
    <t>사상ㆍ신념</t>
  </si>
  <si>
    <t>FIXED</t>
    <phoneticPr fontId="8" type="noConversion"/>
  </si>
  <si>
    <t>*</t>
    <phoneticPr fontId="8" type="noConversion"/>
  </si>
  <si>
    <t>1_2_unionParty</t>
  </si>
  <si>
    <t>노동조합ㆍ정당의 가입ㆍ탈퇴</t>
  </si>
  <si>
    <t>1_2_politicalViews</t>
  </si>
  <si>
    <t>정치적 견해</t>
  </si>
  <si>
    <t>1_2_health</t>
  </si>
  <si>
    <t>건강</t>
  </si>
  <si>
    <t>. - / 은 패스 해야</t>
    <phoneticPr fontId="8" type="noConversion"/>
  </si>
  <si>
    <t>1_2_sexualOrientation</t>
  </si>
  <si>
    <t>성적취향</t>
  </si>
  <si>
    <t>1_2_geneticInfo</t>
  </si>
  <si>
    <t>유전자 검사정보</t>
  </si>
  <si>
    <t>1_2_criminalHistory</t>
  </si>
  <si>
    <t>범죄 경력정보</t>
  </si>
  <si>
    <t>1_3_pwd</t>
  </si>
  <si>
    <t>인증정보</t>
  </si>
  <si>
    <t>비밀번호</t>
  </si>
  <si>
    <t>1_3_biometrics</t>
  </si>
  <si>
    <t>바이오정보(홍체,  지문 등)</t>
  </si>
  <si>
    <t>1_4_creditCard</t>
  </si>
  <si>
    <t>신용정보/금융정보</t>
  </si>
  <si>
    <t>신용카드번호</t>
    <phoneticPr fontId="8" type="noConversion"/>
  </si>
  <si>
    <t>LAST8</t>
    <phoneticPr fontId="8" type="noConversion"/>
  </si>
  <si>
    <t>1_4_account</t>
  </si>
  <si>
    <t>계좌번호</t>
    <phoneticPr fontId="8" type="noConversion"/>
  </si>
  <si>
    <t>1_4_cardReplacement</t>
  </si>
  <si>
    <t>카드대체번호</t>
  </si>
  <si>
    <t>1_4_cardExpiration</t>
  </si>
  <si>
    <t>카드유효년월</t>
  </si>
  <si>
    <t>1_4_cvv</t>
  </si>
  <si>
    <t>CVV/PVV/ICVV/ICVC</t>
  </si>
  <si>
    <t>1_5_healthStatus</t>
  </si>
  <si>
    <t>의료정보</t>
  </si>
  <si>
    <t>건강상태</t>
  </si>
  <si>
    <t>1_5_medicalRecords</t>
  </si>
  <si>
    <t>진료기록</t>
  </si>
  <si>
    <t>1_6_location</t>
  </si>
  <si>
    <t>위치정보</t>
  </si>
  <si>
    <t>개인 위치 정보</t>
  </si>
  <si>
    <t>2_1_name</t>
    <phoneticPr fontId="8" type="noConversion"/>
  </si>
  <si>
    <t>개인식별정보</t>
    <phoneticPr fontId="8" type="noConversion"/>
  </si>
  <si>
    <r>
      <rPr>
        <b/>
        <sz val="10"/>
        <color rgb="FF666666"/>
        <rFont val="맑은 고딕"/>
        <family val="3"/>
        <charset val="129"/>
      </rPr>
      <t>성명</t>
    </r>
    <r>
      <rPr>
        <b/>
        <sz val="10"/>
        <color rgb="FF666666"/>
        <rFont val="Arial"/>
        <family val="2"/>
      </rPr>
      <t>(</t>
    </r>
    <r>
      <rPr>
        <b/>
        <sz val="10"/>
        <color rgb="FF666666"/>
        <rFont val="맑은 고딕"/>
        <family val="3"/>
        <charset val="129"/>
      </rPr>
      <t>개인</t>
    </r>
    <r>
      <rPr>
        <b/>
        <sz val="10"/>
        <color rgb="FF666666"/>
        <rFont val="Arial"/>
        <family val="2"/>
      </rPr>
      <t>/</t>
    </r>
    <r>
      <rPr>
        <b/>
        <sz val="10"/>
        <color rgb="FF666666"/>
        <rFont val="맑은 고딕"/>
        <family val="3"/>
        <charset val="129"/>
      </rPr>
      <t>법인</t>
    </r>
    <r>
      <rPr>
        <b/>
        <sz val="10"/>
        <color rgb="FF666666"/>
        <rFont val="Arial"/>
        <family val="2"/>
      </rPr>
      <t>)</t>
    </r>
    <phoneticPr fontId="8" type="noConversion"/>
  </si>
  <si>
    <t>ALL</t>
    <phoneticPr fontId="8" type="noConversion"/>
  </si>
  <si>
    <t>2_1_dob</t>
  </si>
  <si>
    <t>개인식별정보</t>
  </si>
  <si>
    <t>생년월일</t>
  </si>
  <si>
    <t>YYMMDD</t>
    <phoneticPr fontId="8" type="noConversion"/>
  </si>
  <si>
    <t>8, 6 자리 모두 처리</t>
    <phoneticPr fontId="8" type="noConversion"/>
  </si>
  <si>
    <t>8자리면…앞에 두자, 6자리 변환 해야</t>
    <phoneticPr fontId="8" type="noConversion"/>
  </si>
  <si>
    <t>2_1_gender</t>
  </si>
  <si>
    <t>성별</t>
  </si>
  <si>
    <t>2_1_age</t>
  </si>
  <si>
    <t>연령</t>
  </si>
  <si>
    <t>PASS</t>
    <phoneticPr fontId="8" type="noConversion"/>
  </si>
  <si>
    <t xml:space="preserve">숫자로 되어야 </t>
    <phoneticPr fontId="8" type="noConversion"/>
  </si>
  <si>
    <t>2_1_cidi</t>
  </si>
  <si>
    <t>CI/DI</t>
    <phoneticPr fontId="8" type="noConversion"/>
  </si>
  <si>
    <t>2_2_email</t>
    <phoneticPr fontId="8" type="noConversion"/>
  </si>
  <si>
    <t>연락정보</t>
    <phoneticPr fontId="8" type="noConversion"/>
  </si>
  <si>
    <t>이메일</t>
  </si>
  <si>
    <t>EMAIL</t>
    <phoneticPr fontId="8" type="noConversion"/>
  </si>
  <si>
    <t>@ 앞까지만 변환</t>
    <phoneticPr fontId="8" type="noConversion"/>
  </si>
  <si>
    <t>2_2_telno</t>
    <phoneticPr fontId="8" type="noConversion"/>
  </si>
  <si>
    <t>전화번호</t>
  </si>
  <si>
    <t>LAST7</t>
    <phoneticPr fontId="8" type="noConversion"/>
  </si>
  <si>
    <t>2_2_zipcode</t>
    <phoneticPr fontId="8" type="noConversion"/>
  </si>
  <si>
    <t>우편번호</t>
  </si>
  <si>
    <t>2_2_address1</t>
    <phoneticPr fontId="8" type="noConversion"/>
  </si>
  <si>
    <t>주소 상(행정구역)</t>
  </si>
  <si>
    <t>2_2_address2</t>
    <phoneticPr fontId="8" type="noConversion"/>
  </si>
  <si>
    <t>주소 하(상세영역)</t>
  </si>
  <si>
    <t>2_3_job</t>
    <phoneticPr fontId="8" type="noConversion"/>
  </si>
  <si>
    <t>개인관련정보</t>
    <phoneticPr fontId="8" type="noConversion"/>
  </si>
  <si>
    <t>직업</t>
  </si>
  <si>
    <t>2_3_education</t>
    <phoneticPr fontId="8" type="noConversion"/>
  </si>
  <si>
    <t>학력</t>
  </si>
  <si>
    <t>2_3_photo</t>
    <phoneticPr fontId="8" type="noConversion"/>
  </si>
  <si>
    <t>사진</t>
  </si>
  <si>
    <t>2_3_height</t>
    <phoneticPr fontId="8" type="noConversion"/>
  </si>
  <si>
    <t>키</t>
  </si>
  <si>
    <t>2_3_weight</t>
    <phoneticPr fontId="8" type="noConversion"/>
  </si>
  <si>
    <t>몸무게</t>
  </si>
  <si>
    <t>2_3_maritalStatus</t>
    <phoneticPr fontId="8" type="noConversion"/>
  </si>
  <si>
    <t>혼인여부</t>
  </si>
  <si>
    <t>2_3_familyStatus</t>
    <phoneticPr fontId="8" type="noConversion"/>
  </si>
  <si>
    <t>가족상황</t>
  </si>
  <si>
    <t>2_3_hobbies</t>
    <phoneticPr fontId="8" type="noConversion"/>
  </si>
  <si>
    <t>취미</t>
  </si>
  <si>
    <t>3_1_ipAddress</t>
  </si>
  <si>
    <t>자동 생성 정보</t>
  </si>
  <si>
    <t>IP 주소</t>
  </si>
  <si>
    <t>3_1_macAddress</t>
  </si>
  <si>
    <t>MAC 주소</t>
  </si>
  <si>
    <t>3_1_imei</t>
    <phoneticPr fontId="8" type="noConversion"/>
  </si>
  <si>
    <t>자동 생성 정보</t>
    <phoneticPr fontId="8" type="noConversion"/>
  </si>
  <si>
    <t>IMEI</t>
    <phoneticPr fontId="8" type="noConversion"/>
  </si>
  <si>
    <t>3_1_uuid</t>
    <phoneticPr fontId="8" type="noConversion"/>
  </si>
  <si>
    <t>UUID</t>
    <phoneticPr fontId="8" type="noConversion"/>
  </si>
  <si>
    <t>3_1_usim</t>
    <phoneticPr fontId="8" type="noConversion"/>
  </si>
  <si>
    <t>USIM</t>
    <phoneticPr fontId="8" type="noConversion"/>
  </si>
  <si>
    <t>3_1_websiteHistory</t>
  </si>
  <si>
    <t>사이트 방문 기록</t>
  </si>
  <si>
    <t>3_1_cookies</t>
  </si>
  <si>
    <t>쿠키</t>
  </si>
  <si>
    <t>3_2_statistics</t>
  </si>
  <si>
    <t>가공정보</t>
  </si>
  <si>
    <t>통계성 정보</t>
  </si>
  <si>
    <t>3_2_membershipInfo</t>
  </si>
  <si>
    <t>가입자 성향</t>
  </si>
  <si>
    <t>3_3_memberID</t>
  </si>
  <si>
    <t>제한적 본인 식별정보</t>
  </si>
  <si>
    <t>회원번호</t>
  </si>
  <si>
    <t>3_3_employeeID</t>
  </si>
  <si>
    <t>사번</t>
  </si>
  <si>
    <t>3_3_internalID</t>
  </si>
  <si>
    <t>내부용 개인식별정보</t>
  </si>
  <si>
    <t>3_3_corpno</t>
    <phoneticPr fontId="8" type="noConversion"/>
  </si>
  <si>
    <t>제한적 본인 식별정보</t>
    <phoneticPr fontId="8" type="noConversion"/>
  </si>
  <si>
    <t>법인번호</t>
    <phoneticPr fontId="8" type="noConversion"/>
  </si>
  <si>
    <t>CORPNO</t>
    <phoneticPr fontId="8" type="noConversion"/>
  </si>
  <si>
    <t>CORPNO</t>
  </si>
  <si>
    <t>개인정보는 아니지만 추가함</t>
    <phoneticPr fontId="8" type="noConversion"/>
  </si>
  <si>
    <t>(업로드시 파란색 칼럼 정보가 업데이트 됩니다.)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</si>
</sst>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i/>
      <sz val="14"/>
      <color theme="1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rgb="FF666666"/>
      <name val="Arial"/>
      <family val="3"/>
      <charset val="129"/>
    </font>
    <font>
      <b/>
      <sz val="10"/>
      <color rgb="FF666666"/>
      <name val="맑은 고딕"/>
      <family val="3"/>
      <charset val="129"/>
    </font>
    <font>
      <b/>
      <sz val="10"/>
      <color rgb="FF666666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1" xfId="1" applyFill="1" applyBorder="1">
      <alignment vertical="center"/>
    </xf>
    <xf numFmtId="0" fontId="9" fillId="4" borderId="1" xfId="1" applyFont="1" applyFill="1" applyBorder="1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10" fillId="0" borderId="1" xfId="1" applyFont="1" applyBorder="1">
      <alignment vertical="center"/>
    </xf>
    <xf numFmtId="0" fontId="1" fillId="5" borderId="1" xfId="1" applyFill="1" applyBorder="1">
      <alignment vertical="center"/>
    </xf>
    <xf numFmtId="0" fontId="1" fillId="0" borderId="1" xfId="1" applyBorder="1" applyAlignment="1">
      <alignment vertical="center" wrapText="1"/>
    </xf>
    <xf numFmtId="0" fontId="11" fillId="0" borderId="0" xfId="2">
      <alignment vertical="center"/>
    </xf>
    <xf numFmtId="0" fontId="1" fillId="6" borderId="1" xfId="1" quotePrefix="1" applyFill="1" applyBorder="1">
      <alignment vertical="center"/>
    </xf>
    <xf numFmtId="0" fontId="1" fillId="6" borderId="1" xfId="1" applyFill="1" applyBorder="1">
      <alignment vertical="center"/>
    </xf>
    <xf numFmtId="0" fontId="1" fillId="6" borderId="0" xfId="1" applyFill="1">
      <alignment vertical="center"/>
    </xf>
    <xf numFmtId="176" fontId="1" fillId="6" borderId="1" xfId="1" applyNumberFormat="1" applyFill="1" applyBorder="1">
      <alignment vertical="center"/>
    </xf>
    <xf numFmtId="0" fontId="14" fillId="0" borderId="1" xfId="1" applyFont="1" applyBorder="1">
      <alignment vertical="center"/>
    </xf>
    <xf numFmtId="0" fontId="1" fillId="7" borderId="1" xfId="1" applyFill="1" applyBorder="1">
      <alignment vertical="center"/>
    </xf>
    <xf numFmtId="0" fontId="1" fillId="4" borderId="1" xfId="1" applyFill="1" applyBorder="1">
      <alignment vertical="center"/>
    </xf>
    <xf numFmtId="0" fontId="10" fillId="4" borderId="1" xfId="1" applyFont="1" applyFill="1" applyBorder="1">
      <alignment vertical="center"/>
    </xf>
    <xf numFmtId="0" fontId="1" fillId="4" borderId="0" xfId="1" applyFill="1">
      <alignment vertical="center"/>
    </xf>
    <xf numFmtId="0" fontId="16" fillId="0" borderId="1" xfId="1" applyFont="1" applyBorder="1">
      <alignment vertical="center"/>
    </xf>
    <xf numFmtId="0" fontId="10" fillId="8" borderId="1" xfId="1" applyFont="1" applyFill="1" applyBorder="1">
      <alignment vertical="center"/>
    </xf>
    <xf numFmtId="0" fontId="16" fillId="4" borderId="1" xfId="1" applyFont="1" applyFill="1" applyBorder="1">
      <alignment vertical="center"/>
    </xf>
    <xf numFmtId="0" fontId="1" fillId="9" borderId="1" xfId="1" applyFill="1" applyBorder="1">
      <alignment vertical="center"/>
    </xf>
    <xf numFmtId="0" fontId="10" fillId="9" borderId="1" xfId="1" applyFont="1" applyFill="1" applyBorder="1">
      <alignment vertical="center"/>
    </xf>
    <xf numFmtId="0" fontId="1" fillId="9" borderId="0" xfId="1" applyFill="1">
      <alignment vertical="center"/>
    </xf>
    <xf numFmtId="0" fontId="9" fillId="0" borderId="0" xfId="1" applyFont="1">
      <alignment vertical="center"/>
    </xf>
  </cellXfs>
  <cellStyles count="3">
    <cellStyle name="표준" xfId="0" builtinId="0"/>
    <cellStyle name="표준 2" xfId="1" xr:uid="{7AF273EC-6B38-45FA-8ED7-0D6611E937AE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7</xdr:col>
      <xdr:colOff>1008344</xdr:colOff>
      <xdr:row>75</xdr:row>
      <xdr:rowOff>94714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D3B9D7E-F14A-47BC-A77F-11ED174F6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11734800"/>
          <a:ext cx="10447619" cy="4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"/>
  <sheetViews>
    <sheetView tabSelected="1" workbookViewId="0">
      <pane ySplit="2" topLeftCell="A3" activePane="bottomLeft" state="frozen"/>
      <selection pane="bottomLeft" activeCell="M3" sqref="M3"/>
    </sheetView>
  </sheetViews>
  <sheetFormatPr defaultRowHeight="13.5"/>
  <cols>
    <col min="1" max="1" width="5.125" style="1" customWidth="1"/>
    <col min="2" max="2" width="7" style="1" customWidth="1"/>
    <col min="3" max="3" width="12.25" style="1" customWidth="1"/>
    <col min="4" max="4" width="17" style="1" customWidth="1"/>
    <col min="5" max="5" width="16.75" style="1" customWidth="1"/>
    <col min="6" max="6" width="15.625" style="1" customWidth="1"/>
    <col min="7" max="7" width="7.125" style="1" bestFit="1" customWidth="1"/>
    <col min="8" max="8" width="6.75" style="1" bestFit="1" customWidth="1"/>
    <col min="9" max="9" width="11" style="1" customWidth="1"/>
    <col min="10" max="10" width="7.875" style="1" bestFit="1" customWidth="1"/>
    <col min="11" max="11" width="10.875" style="1" customWidth="1"/>
    <col min="12" max="12" width="9.625" style="1" bestFit="1" customWidth="1"/>
    <col min="13" max="13" width="11.375" style="1" bestFit="1" customWidth="1"/>
    <col min="14" max="14" width="12.625" style="1" customWidth="1"/>
    <col min="15" max="15" width="11.75" style="1" customWidth="1"/>
    <col min="16" max="16" width="12.75" style="1" bestFit="1" customWidth="1"/>
    <col min="17" max="17" width="14.625" style="1" bestFit="1" customWidth="1"/>
    <col min="18" max="18" width="11.375" style="1" bestFit="1" customWidth="1"/>
    <col min="19" max="16384" width="9" style="1"/>
  </cols>
  <sheetData>
    <row r="1" spans="1:18" ht="31.5" customHeight="1">
      <c r="B1" s="3"/>
      <c r="C1" s="3"/>
      <c r="D1" s="3"/>
      <c r="E1" s="3"/>
      <c r="F1" s="3"/>
      <c r="G1" s="3" t="s">
        <v>15</v>
      </c>
      <c r="H1" s="3"/>
      <c r="I1" s="3"/>
      <c r="J1" s="3"/>
      <c r="K1" s="3"/>
      <c r="N1" s="5"/>
      <c r="O1" s="6" t="s">
        <v>179</v>
      </c>
    </row>
    <row r="2" spans="1:18" ht="20.25" customHeight="1">
      <c r="A2" s="2" t="s">
        <v>12</v>
      </c>
      <c r="B2" s="2" t="s">
        <v>0</v>
      </c>
      <c r="C2" s="2" t="s">
        <v>1</v>
      </c>
      <c r="D2" s="2" t="s">
        <v>14</v>
      </c>
      <c r="E2" s="2" t="s">
        <v>13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4" t="s">
        <v>10</v>
      </c>
      <c r="M2" s="4" t="s">
        <v>9</v>
      </c>
      <c r="N2" s="4" t="s">
        <v>8</v>
      </c>
      <c r="O2" s="4" t="s">
        <v>11</v>
      </c>
      <c r="P2" s="4" t="s">
        <v>16</v>
      </c>
      <c r="Q2" s="4" t="s">
        <v>17</v>
      </c>
      <c r="R2" s="4" t="s">
        <v>18</v>
      </c>
    </row>
  </sheetData>
  <phoneticPr fontId="2" type="noConversion"/>
  <dataValidations count="1">
    <dataValidation type="list" allowBlank="1" showInputMessage="1" showErrorMessage="1" sqref="M2" xr:uid="{5B3489FD-7F9E-4F41-B712-D06B23EEB47A}">
      <formula1>#REF!</formula1>
    </dataValidation>
  </dataValidations>
  <pageMargins left="0.7" right="0.7" top="0.75" bottom="0.75" header="0.3" footer="0.3"/>
  <pageSetup paperSize="9" scale="6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2631-5B44-408E-A749-F456784EB854}">
  <dimension ref="A1:Q53"/>
  <sheetViews>
    <sheetView workbookViewId="0">
      <selection activeCell="C30" sqref="C30"/>
    </sheetView>
  </sheetViews>
  <sheetFormatPr defaultRowHeight="16.5"/>
  <cols>
    <col min="1" max="1" width="4.375" style="9" bestFit="1" customWidth="1"/>
    <col min="2" max="2" width="20" style="9" customWidth="1"/>
    <col min="3" max="3" width="15.125" style="9" bestFit="1" customWidth="1"/>
    <col min="4" max="4" width="16" style="9" customWidth="1"/>
    <col min="5" max="5" width="16.75" style="9" customWidth="1"/>
    <col min="6" max="7" width="28" style="9" customWidth="1"/>
    <col min="8" max="8" width="28.5" style="9" customWidth="1"/>
    <col min="9" max="9" width="33.875" style="30" customWidth="1"/>
    <col min="10" max="11" width="26" style="9" customWidth="1"/>
    <col min="12" max="12" width="19.125" style="9" customWidth="1"/>
    <col min="13" max="13" width="14.875" style="9" customWidth="1"/>
    <col min="14" max="14" width="35.25" style="9" customWidth="1"/>
    <col min="15" max="16384" width="9" style="9"/>
  </cols>
  <sheetData>
    <row r="1" spans="1:17">
      <c r="A1" s="7" t="s">
        <v>19</v>
      </c>
      <c r="B1" s="21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8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Q1" s="9" t="s">
        <v>33</v>
      </c>
    </row>
    <row r="2" spans="1:17" ht="33">
      <c r="A2" s="10">
        <v>1</v>
      </c>
      <c r="B2" s="10" t="s">
        <v>34</v>
      </c>
      <c r="C2" s="10" t="str">
        <f>MID(B2,1,1)</f>
        <v>1</v>
      </c>
      <c r="D2" s="10" t="str">
        <f>C2&amp;"급"</f>
        <v>1급</v>
      </c>
      <c r="E2" s="10" t="str">
        <f>MID(B2,3,1)</f>
        <v>1</v>
      </c>
      <c r="F2" s="10" t="s">
        <v>35</v>
      </c>
      <c r="G2" s="10" t="str">
        <f>MID(B2,5,100)</f>
        <v>rrn</v>
      </c>
      <c r="H2" s="10" t="s">
        <v>36</v>
      </c>
      <c r="I2" s="11" t="str">
        <f t="shared" ref="I2:I53" si="0">IF(ISBLANK(L2), J2&amp;"_"&amp;K2, J2&amp;"_"&amp;K2&amp;"_"&amp;L2)</f>
        <v>SCRAMBLE_RRN_AFTER7</v>
      </c>
      <c r="J2" s="10" t="s">
        <v>37</v>
      </c>
      <c r="K2" s="12" t="s">
        <v>38</v>
      </c>
      <c r="L2" s="10" t="s">
        <v>39</v>
      </c>
      <c r="M2" s="10" t="s">
        <v>38</v>
      </c>
      <c r="N2" s="13" t="s">
        <v>40</v>
      </c>
      <c r="O2" s="14"/>
      <c r="P2" s="9" t="str">
        <f t="shared" ref="P2:P53" si="1">"else if (radio.value === """&amp;B2&amp;""") {textInput.value = """&amp;I2&amp;""";}"</f>
        <v>else if (radio.value === "1_1_rrn") {textInput.value = "SCRAMBLE_RRN_AFTER7";}</v>
      </c>
      <c r="Q2" s="9" t="str">
        <f>"insert into cotdl.TBL_LKPIISCRTYPE values('"&amp;B2&amp;"', "&amp;C2&amp;", '"&amp;D2&amp;"', "&amp;E2&amp;", '"&amp;F2&amp;"', '"&amp;G2&amp;"', '"&amp;H2&amp;"', '"&amp;I2&amp;"', '"&amp;J2&amp;"', '"&amp;K2&amp;"', '"&amp;L2&amp;"', '"&amp;M2&amp;"', '"&amp;N2&amp;"');"</f>
        <v>insert into cotdl.TBL_LKPIISCRTYPE values('1_1_rrn', 1, '1급', 1, '생명·신체에 중대한 위해를 초래할 우려가 있는 정보', 'rrn', '주민/외국인등록번호', 'SCRAMBLE_RRN_AFTER7', 'SCRAMBLE', 'RRN', 'AFTER7', 'RRN', 'ALL =&gt;1,2,7번째만 빼고
AFTER7 =&gt; 7개 숫자 이후 (7은 고정)');</v>
      </c>
    </row>
    <row r="3" spans="1:17">
      <c r="A3" s="10">
        <v>2</v>
      </c>
      <c r="B3" s="10" t="s">
        <v>41</v>
      </c>
      <c r="C3" s="10" t="str">
        <f t="shared" ref="C3:C53" si="2">MID(B3,1,1)</f>
        <v>1</v>
      </c>
      <c r="D3" s="10" t="str">
        <f t="shared" ref="D3:D53" si="3">C3&amp;"급"</f>
        <v>1급</v>
      </c>
      <c r="E3" s="10" t="str">
        <f t="shared" ref="E3:E53" si="4">MID(B3,3,1)</f>
        <v>1</v>
      </c>
      <c r="F3" s="10" t="s">
        <v>35</v>
      </c>
      <c r="G3" s="10" t="str">
        <f t="shared" ref="G3:G53" si="5">MID(B3,5,100)</f>
        <v>passport</v>
      </c>
      <c r="H3" s="10" t="s">
        <v>42</v>
      </c>
      <c r="I3" s="11" t="str">
        <f>IF(ISBLANK(L3), J3&amp;"_"&amp;K3, J3&amp;"_"&amp;K3&amp;"_"&amp;L3)</f>
        <v>SCRAMBLE_NORMAL_AFTER2</v>
      </c>
      <c r="J3" s="10" t="s">
        <v>37</v>
      </c>
      <c r="K3" s="10" t="s">
        <v>43</v>
      </c>
      <c r="L3" s="10" t="s">
        <v>44</v>
      </c>
      <c r="M3" s="10"/>
      <c r="N3" s="15" t="s">
        <v>45</v>
      </c>
      <c r="P3" s="9" t="str">
        <f t="shared" si="1"/>
        <v>else if (radio.value === "1_1_passport") {textInput.value = "SCRAMBLE_NORMAL_AFTER2";}</v>
      </c>
      <c r="Q3" s="9" t="str">
        <f t="shared" ref="Q3:Q53" si="6">"insert into cotdl.TBL_LKPIISCRTYPE values('"&amp;B3&amp;"', "&amp;C3&amp;", '"&amp;D3&amp;"', "&amp;E3&amp;", '"&amp;F3&amp;"', '"&amp;G3&amp;"', '"&amp;H3&amp;"', '"&amp;I3&amp;"', '"&amp;J3&amp;"', '"&amp;K3&amp;"', '"&amp;L3&amp;"', '"&amp;M3&amp;"', '"&amp;N3&amp;"');"</f>
        <v>insert into cotdl.TBL_LKPIISCRTYPE values('1_1_passport', 1, '1급', 1, '생명·신체에 중대한 위해를 초래할 우려가 있는 정보', 'passport', '여권번호', 'SCRAMBLE_NORMAL_AFTER2', 'SCRAMBLE', 'NORMAL', 'AFTER2', '', '0123456789');</v>
      </c>
    </row>
    <row r="4" spans="1:17">
      <c r="A4" s="10">
        <v>3</v>
      </c>
      <c r="B4" s="10" t="s">
        <v>46</v>
      </c>
      <c r="C4" s="10" t="str">
        <f t="shared" si="2"/>
        <v>1</v>
      </c>
      <c r="D4" s="10" t="str">
        <f t="shared" si="3"/>
        <v>1급</v>
      </c>
      <c r="E4" s="10" t="str">
        <f t="shared" si="4"/>
        <v>1</v>
      </c>
      <c r="F4" s="10" t="s">
        <v>35</v>
      </c>
      <c r="G4" s="10" t="str">
        <f t="shared" si="5"/>
        <v>driverLicense</v>
      </c>
      <c r="H4" s="10" t="s">
        <v>47</v>
      </c>
      <c r="I4" s="11" t="str">
        <f t="shared" si="0"/>
        <v>SCRAMBLE_NORMAL_AFTER3</v>
      </c>
      <c r="J4" s="10" t="s">
        <v>37</v>
      </c>
      <c r="K4" s="10" t="s">
        <v>43</v>
      </c>
      <c r="L4" s="10" t="s">
        <v>48</v>
      </c>
      <c r="M4" s="10"/>
      <c r="N4" s="15" t="s">
        <v>49</v>
      </c>
      <c r="P4" s="9" t="str">
        <f t="shared" si="1"/>
        <v>else if (radio.value === "1_1_driverLicense") {textInput.value = "SCRAMBLE_NORMAL_AFTER3";}</v>
      </c>
      <c r="Q4" s="9" t="str">
        <f t="shared" si="6"/>
        <v>insert into cotdl.TBL_LKPIISCRTYPE values('1_1_driverLicense', 1, '1급', 1, '생명·신체에 중대한 위해를 초래할 우려가 있는 정보', 'driverLicense', '운전면허번호', 'SCRAMBLE_NORMAL_AFTER3', 'SCRAMBLE', 'NORMAL', 'AFTER3', '', '0123456789');</v>
      </c>
    </row>
    <row r="5" spans="1:17">
      <c r="A5" s="10">
        <v>4</v>
      </c>
      <c r="B5" s="10" t="s">
        <v>50</v>
      </c>
      <c r="C5" s="10" t="str">
        <f t="shared" si="2"/>
        <v>1</v>
      </c>
      <c r="D5" s="10" t="str">
        <f t="shared" si="3"/>
        <v>1급</v>
      </c>
      <c r="E5" s="10" t="str">
        <f t="shared" si="4"/>
        <v>1</v>
      </c>
      <c r="F5" s="10" t="s">
        <v>35</v>
      </c>
      <c r="G5" s="10" t="str">
        <f t="shared" si="5"/>
        <v>governmentID</v>
      </c>
      <c r="H5" s="10" t="s">
        <v>51</v>
      </c>
      <c r="I5" s="11" t="str">
        <f t="shared" si="0"/>
        <v>SCRAMBLE_NORMAL_AFTER3</v>
      </c>
      <c r="J5" s="10" t="s">
        <v>37</v>
      </c>
      <c r="K5" s="10" t="s">
        <v>43</v>
      </c>
      <c r="L5" s="10" t="s">
        <v>48</v>
      </c>
      <c r="M5" s="10"/>
      <c r="N5" s="15" t="s">
        <v>52</v>
      </c>
      <c r="P5" s="9" t="str">
        <f t="shared" si="1"/>
        <v>else if (radio.value === "1_1_governmentID") {textInput.value = "SCRAMBLE_NORMAL_AFTER3";}</v>
      </c>
      <c r="Q5" s="9" t="str">
        <f t="shared" si="6"/>
        <v>insert into cotdl.TBL_LKPIISCRTYPE values('1_1_governmentID', 1, '1급', 1, '생명·신체에 중대한 위해를 초래할 우려가 있는 정보', 'governmentID', '공무원증번호', 'SCRAMBLE_NORMAL_AFTER3', 'SCRAMBLE', 'NORMAL', 'AFTER3', '', '0123456789');</v>
      </c>
    </row>
    <row r="6" spans="1:17">
      <c r="A6" s="10">
        <v>5</v>
      </c>
      <c r="B6" s="10" t="s">
        <v>53</v>
      </c>
      <c r="C6" s="10" t="str">
        <f t="shared" si="2"/>
        <v>1</v>
      </c>
      <c r="D6" s="10" t="str">
        <f t="shared" si="3"/>
        <v>1급</v>
      </c>
      <c r="E6" s="10" t="str">
        <f t="shared" si="4"/>
        <v>2</v>
      </c>
      <c r="F6" s="10" t="s">
        <v>54</v>
      </c>
      <c r="G6" s="10" t="str">
        <f t="shared" si="5"/>
        <v>beliefs</v>
      </c>
      <c r="H6" s="10" t="s">
        <v>55</v>
      </c>
      <c r="I6" s="11" t="str">
        <f t="shared" si="0"/>
        <v>FIXED_*</v>
      </c>
      <c r="J6" s="10" t="s">
        <v>56</v>
      </c>
      <c r="K6" s="16" t="s">
        <v>57</v>
      </c>
      <c r="L6" s="16"/>
      <c r="M6" s="10"/>
      <c r="N6" s="10"/>
      <c r="P6" s="9" t="str">
        <f t="shared" si="1"/>
        <v>else if (radio.value === "1_2_beliefs") {textInput.value = "FIXED_*";}</v>
      </c>
      <c r="Q6" s="9" t="str">
        <f t="shared" si="6"/>
        <v>insert into cotdl.TBL_LKPIISCRTYPE values('1_2_beliefs', 1, '1급', 2, '민감정보', 'beliefs', '사상ㆍ신념', 'FIXED_*', 'FIXED', '*', '', '', '');</v>
      </c>
    </row>
    <row r="7" spans="1:17">
      <c r="A7" s="10">
        <v>6</v>
      </c>
      <c r="B7" s="10" t="s">
        <v>58</v>
      </c>
      <c r="C7" s="10" t="str">
        <f t="shared" si="2"/>
        <v>1</v>
      </c>
      <c r="D7" s="10" t="str">
        <f t="shared" si="3"/>
        <v>1급</v>
      </c>
      <c r="E7" s="10" t="str">
        <f t="shared" si="4"/>
        <v>2</v>
      </c>
      <c r="F7" s="10" t="s">
        <v>54</v>
      </c>
      <c r="G7" s="10" t="str">
        <f t="shared" si="5"/>
        <v>unionParty</v>
      </c>
      <c r="H7" s="10" t="s">
        <v>59</v>
      </c>
      <c r="I7" s="11" t="str">
        <f t="shared" si="0"/>
        <v>FIXED_*</v>
      </c>
      <c r="J7" s="10" t="s">
        <v>56</v>
      </c>
      <c r="K7" s="16" t="s">
        <v>57</v>
      </c>
      <c r="L7" s="16"/>
      <c r="M7" s="10"/>
      <c r="N7" s="10"/>
      <c r="P7" s="9" t="str">
        <f t="shared" si="1"/>
        <v>else if (radio.value === "1_2_unionParty") {textInput.value = "FIXED_*";}</v>
      </c>
      <c r="Q7" s="9" t="str">
        <f t="shared" si="6"/>
        <v>insert into cotdl.TBL_LKPIISCRTYPE values('1_2_unionParty', 1, '1급', 2, '민감정보', 'unionParty', '노동조합ㆍ정당의 가입ㆍ탈퇴', 'FIXED_*', 'FIXED', '*', '', '', '');</v>
      </c>
    </row>
    <row r="8" spans="1:17">
      <c r="A8" s="10">
        <v>7</v>
      </c>
      <c r="B8" s="10" t="s">
        <v>60</v>
      </c>
      <c r="C8" s="10" t="str">
        <f t="shared" si="2"/>
        <v>1</v>
      </c>
      <c r="D8" s="10" t="str">
        <f t="shared" si="3"/>
        <v>1급</v>
      </c>
      <c r="E8" s="10" t="str">
        <f t="shared" si="4"/>
        <v>2</v>
      </c>
      <c r="F8" s="10" t="s">
        <v>54</v>
      </c>
      <c r="G8" s="10" t="str">
        <f t="shared" si="5"/>
        <v>politicalViews</v>
      </c>
      <c r="H8" s="10" t="s">
        <v>61</v>
      </c>
      <c r="I8" s="11" t="str">
        <f t="shared" si="0"/>
        <v>FIXED_*</v>
      </c>
      <c r="J8" s="10" t="s">
        <v>56</v>
      </c>
      <c r="K8" s="16" t="s">
        <v>57</v>
      </c>
      <c r="L8" s="16"/>
      <c r="M8" s="10"/>
      <c r="N8" s="10"/>
      <c r="P8" s="9" t="str">
        <f t="shared" si="1"/>
        <v>else if (radio.value === "1_2_politicalViews") {textInput.value = "FIXED_*";}</v>
      </c>
      <c r="Q8" s="9" t="str">
        <f t="shared" si="6"/>
        <v>insert into cotdl.TBL_LKPIISCRTYPE values('1_2_politicalViews', 1, '1급', 2, '민감정보', 'politicalViews', '정치적 견해', 'FIXED_*', 'FIXED', '*', '', '', '');</v>
      </c>
    </row>
    <row r="9" spans="1:17">
      <c r="A9" s="10">
        <v>8</v>
      </c>
      <c r="B9" s="10" t="s">
        <v>62</v>
      </c>
      <c r="C9" s="10" t="str">
        <f t="shared" si="2"/>
        <v>1</v>
      </c>
      <c r="D9" s="10" t="str">
        <f t="shared" si="3"/>
        <v>1급</v>
      </c>
      <c r="E9" s="10" t="str">
        <f t="shared" si="4"/>
        <v>2</v>
      </c>
      <c r="F9" s="10" t="s">
        <v>54</v>
      </c>
      <c r="G9" s="10" t="str">
        <f t="shared" si="5"/>
        <v>health</v>
      </c>
      <c r="H9" s="10" t="s">
        <v>63</v>
      </c>
      <c r="I9" s="11" t="str">
        <f t="shared" si="0"/>
        <v>FIXED_*</v>
      </c>
      <c r="J9" s="10" t="s">
        <v>56</v>
      </c>
      <c r="K9" s="16" t="s">
        <v>57</v>
      </c>
      <c r="L9" s="16"/>
      <c r="M9" s="10"/>
      <c r="N9" s="10"/>
      <c r="O9" s="17" t="s">
        <v>64</v>
      </c>
      <c r="P9" s="9" t="str">
        <f t="shared" si="1"/>
        <v>else if (radio.value === "1_2_health") {textInput.value = "FIXED_*";}</v>
      </c>
      <c r="Q9" s="9" t="str">
        <f t="shared" si="6"/>
        <v>insert into cotdl.TBL_LKPIISCRTYPE values('1_2_health', 1, '1급', 2, '민감정보', 'health', '건강', 'FIXED_*', 'FIXED', '*', '', '', '');</v>
      </c>
    </row>
    <row r="10" spans="1:17">
      <c r="A10" s="10">
        <v>9</v>
      </c>
      <c r="B10" s="10" t="s">
        <v>65</v>
      </c>
      <c r="C10" s="10" t="str">
        <f t="shared" si="2"/>
        <v>1</v>
      </c>
      <c r="D10" s="10" t="str">
        <f t="shared" si="3"/>
        <v>1급</v>
      </c>
      <c r="E10" s="10" t="str">
        <f t="shared" si="4"/>
        <v>2</v>
      </c>
      <c r="F10" s="10" t="s">
        <v>54</v>
      </c>
      <c r="G10" s="10" t="str">
        <f t="shared" si="5"/>
        <v>sexualOrientation</v>
      </c>
      <c r="H10" s="10" t="s">
        <v>66</v>
      </c>
      <c r="I10" s="11" t="str">
        <f t="shared" si="0"/>
        <v>FIXED_*</v>
      </c>
      <c r="J10" s="10" t="s">
        <v>56</v>
      </c>
      <c r="K10" s="16" t="s">
        <v>57</v>
      </c>
      <c r="L10" s="16"/>
      <c r="M10" s="10"/>
      <c r="N10" s="10"/>
      <c r="O10" s="17" t="s">
        <v>64</v>
      </c>
      <c r="P10" s="9" t="str">
        <f t="shared" si="1"/>
        <v>else if (radio.value === "1_2_sexualOrientation") {textInput.value = "FIXED_*";}</v>
      </c>
      <c r="Q10" s="9" t="str">
        <f t="shared" si="6"/>
        <v>insert into cotdl.TBL_LKPIISCRTYPE values('1_2_sexualOrientation', 1, '1급', 2, '민감정보', 'sexualOrientation', '성적취향', 'FIXED_*', 'FIXED', '*', '', '', '');</v>
      </c>
    </row>
    <row r="11" spans="1:17">
      <c r="A11" s="10">
        <v>10</v>
      </c>
      <c r="B11" s="10" t="s">
        <v>67</v>
      </c>
      <c r="C11" s="10" t="str">
        <f t="shared" si="2"/>
        <v>1</v>
      </c>
      <c r="D11" s="10" t="str">
        <f t="shared" si="3"/>
        <v>1급</v>
      </c>
      <c r="E11" s="10" t="str">
        <f t="shared" si="4"/>
        <v>2</v>
      </c>
      <c r="F11" s="10" t="s">
        <v>54</v>
      </c>
      <c r="G11" s="10" t="str">
        <f t="shared" si="5"/>
        <v>geneticInfo</v>
      </c>
      <c r="H11" s="10" t="s">
        <v>68</v>
      </c>
      <c r="I11" s="11" t="str">
        <f t="shared" si="0"/>
        <v>FIXED_*</v>
      </c>
      <c r="J11" s="10" t="s">
        <v>56</v>
      </c>
      <c r="K11" s="16" t="s">
        <v>57</v>
      </c>
      <c r="L11" s="16"/>
      <c r="M11" s="10"/>
      <c r="N11" s="10"/>
      <c r="O11" s="17" t="s">
        <v>64</v>
      </c>
      <c r="P11" s="9" t="str">
        <f t="shared" si="1"/>
        <v>else if (radio.value === "1_2_geneticInfo") {textInput.value = "FIXED_*";}</v>
      </c>
      <c r="Q11" s="9" t="str">
        <f t="shared" si="6"/>
        <v>insert into cotdl.TBL_LKPIISCRTYPE values('1_2_geneticInfo', 1, '1급', 2, '민감정보', 'geneticInfo', '유전자 검사정보', 'FIXED_*', 'FIXED', '*', '', '', '');</v>
      </c>
    </row>
    <row r="12" spans="1:17">
      <c r="A12" s="10">
        <v>11</v>
      </c>
      <c r="B12" s="10" t="s">
        <v>69</v>
      </c>
      <c r="C12" s="10" t="str">
        <f t="shared" si="2"/>
        <v>1</v>
      </c>
      <c r="D12" s="10" t="str">
        <f t="shared" si="3"/>
        <v>1급</v>
      </c>
      <c r="E12" s="10" t="str">
        <f t="shared" si="4"/>
        <v>2</v>
      </c>
      <c r="F12" s="10" t="s">
        <v>54</v>
      </c>
      <c r="G12" s="10" t="str">
        <f t="shared" si="5"/>
        <v>criminalHistory</v>
      </c>
      <c r="H12" s="10" t="s">
        <v>70</v>
      </c>
      <c r="I12" s="11" t="str">
        <f t="shared" si="0"/>
        <v>FIXED_*</v>
      </c>
      <c r="J12" s="10" t="s">
        <v>56</v>
      </c>
      <c r="K12" s="16" t="s">
        <v>57</v>
      </c>
      <c r="L12" s="16"/>
      <c r="M12" s="10"/>
      <c r="N12" s="10"/>
      <c r="O12" s="17" t="s">
        <v>64</v>
      </c>
      <c r="P12" s="9" t="str">
        <f t="shared" si="1"/>
        <v>else if (radio.value === "1_2_criminalHistory") {textInput.value = "FIXED_*";}</v>
      </c>
      <c r="Q12" s="9" t="str">
        <f t="shared" si="6"/>
        <v>insert into cotdl.TBL_LKPIISCRTYPE values('1_2_criminalHistory', 1, '1급', 2, '민감정보', 'criminalHistory', '범죄 경력정보', 'FIXED_*', 'FIXED', '*', '', '', '');</v>
      </c>
    </row>
    <row r="13" spans="1:17" s="17" customFormat="1">
      <c r="A13" s="10">
        <v>12</v>
      </c>
      <c r="B13" s="16" t="s">
        <v>71</v>
      </c>
      <c r="C13" s="16" t="str">
        <f t="shared" si="2"/>
        <v>1</v>
      </c>
      <c r="D13" s="16" t="str">
        <f t="shared" si="3"/>
        <v>1급</v>
      </c>
      <c r="E13" s="16" t="str">
        <f t="shared" si="4"/>
        <v>3</v>
      </c>
      <c r="F13" s="16" t="s">
        <v>72</v>
      </c>
      <c r="G13" s="16" t="str">
        <f t="shared" si="5"/>
        <v>pwd</v>
      </c>
      <c r="H13" s="16" t="s">
        <v>73</v>
      </c>
      <c r="I13" s="11" t="str">
        <f t="shared" si="0"/>
        <v>FIXED_1111</v>
      </c>
      <c r="J13" s="10" t="s">
        <v>56</v>
      </c>
      <c r="K13" s="10">
        <v>1111</v>
      </c>
      <c r="L13" s="10"/>
      <c r="M13" s="16"/>
      <c r="N13" s="16"/>
      <c r="O13" s="17" t="s">
        <v>64</v>
      </c>
      <c r="P13" s="9" t="str">
        <f t="shared" si="1"/>
        <v>else if (radio.value === "1_3_pwd") {textInput.value = "FIXED_1111";}</v>
      </c>
      <c r="Q13" s="9" t="str">
        <f t="shared" si="6"/>
        <v>insert into cotdl.TBL_LKPIISCRTYPE values('1_3_pwd', 1, '1급', 3, '인증정보', 'pwd', '비밀번호', 'FIXED_1111', 'FIXED', '1111', '', '', '');</v>
      </c>
    </row>
    <row r="14" spans="1:17">
      <c r="A14" s="10">
        <v>13</v>
      </c>
      <c r="B14" s="10" t="s">
        <v>74</v>
      </c>
      <c r="C14" s="10" t="str">
        <f t="shared" si="2"/>
        <v>1</v>
      </c>
      <c r="D14" s="10" t="str">
        <f t="shared" si="3"/>
        <v>1급</v>
      </c>
      <c r="E14" s="10" t="str">
        <f t="shared" si="4"/>
        <v>3</v>
      </c>
      <c r="F14" s="10" t="s">
        <v>72</v>
      </c>
      <c r="G14" s="10" t="str">
        <f t="shared" si="5"/>
        <v>biometrics</v>
      </c>
      <c r="H14" s="10" t="s">
        <v>75</v>
      </c>
      <c r="I14" s="11" t="str">
        <f t="shared" si="0"/>
        <v>FIXED_*</v>
      </c>
      <c r="J14" s="10" t="s">
        <v>56</v>
      </c>
      <c r="K14" s="16" t="s">
        <v>57</v>
      </c>
      <c r="L14" s="16"/>
      <c r="M14" s="10"/>
      <c r="N14" s="10"/>
      <c r="P14" s="9" t="str">
        <f t="shared" si="1"/>
        <v>else if (radio.value === "1_3_biometrics") {textInput.value = "FIXED_*";}</v>
      </c>
      <c r="Q14" s="9" t="str">
        <f t="shared" si="6"/>
        <v>insert into cotdl.TBL_LKPIISCRTYPE values('1_3_biometrics', 1, '1급', 3, '인증정보', 'biometrics', '바이오정보(홍체,  지문 등)', 'FIXED_*', 'FIXED', '*', '', '', '');</v>
      </c>
    </row>
    <row r="15" spans="1:17">
      <c r="A15" s="10">
        <v>14</v>
      </c>
      <c r="B15" s="10" t="s">
        <v>76</v>
      </c>
      <c r="C15" s="10" t="str">
        <f t="shared" si="2"/>
        <v>1</v>
      </c>
      <c r="D15" s="10" t="str">
        <f t="shared" si="3"/>
        <v>1급</v>
      </c>
      <c r="E15" s="10" t="str">
        <f t="shared" si="4"/>
        <v>4</v>
      </c>
      <c r="F15" s="10" t="s">
        <v>77</v>
      </c>
      <c r="G15" s="10" t="str">
        <f t="shared" si="5"/>
        <v>creditCard</v>
      </c>
      <c r="H15" s="10" t="s">
        <v>78</v>
      </c>
      <c r="I15" s="11" t="str">
        <f t="shared" si="0"/>
        <v>SCRAMBLE_NORMAL_LAST8</v>
      </c>
      <c r="J15" s="10" t="s">
        <v>37</v>
      </c>
      <c r="K15" s="10" t="s">
        <v>43</v>
      </c>
      <c r="L15" s="10" t="s">
        <v>79</v>
      </c>
      <c r="M15" s="10"/>
      <c r="N15" s="16"/>
      <c r="P15" s="9" t="str">
        <f t="shared" si="1"/>
        <v>else if (radio.value === "1_4_creditCard") {textInput.value = "SCRAMBLE_NORMAL_LAST8";}</v>
      </c>
      <c r="Q15" s="9" t="str">
        <f t="shared" si="6"/>
        <v>insert into cotdl.TBL_LKPIISCRTYPE values('1_4_creditCard', 1, '1급', 4, '신용정보/금융정보', 'creditCard', '신용카드번호', 'SCRAMBLE_NORMAL_LAST8', 'SCRAMBLE', 'NORMAL', 'LAST8', '', '');</v>
      </c>
    </row>
    <row r="16" spans="1:17">
      <c r="A16" s="10">
        <v>15</v>
      </c>
      <c r="B16" s="10" t="s">
        <v>80</v>
      </c>
      <c r="C16" s="10" t="str">
        <f t="shared" si="2"/>
        <v>1</v>
      </c>
      <c r="D16" s="10" t="str">
        <f t="shared" si="3"/>
        <v>1급</v>
      </c>
      <c r="E16" s="10" t="str">
        <f t="shared" si="4"/>
        <v>4</v>
      </c>
      <c r="F16" s="10" t="s">
        <v>77</v>
      </c>
      <c r="G16" s="10" t="str">
        <f t="shared" si="5"/>
        <v>account</v>
      </c>
      <c r="H16" s="10" t="s">
        <v>81</v>
      </c>
      <c r="I16" s="11" t="str">
        <f t="shared" si="0"/>
        <v>SCRAMBLE_NORMAL_LAST8</v>
      </c>
      <c r="J16" s="10" t="s">
        <v>37</v>
      </c>
      <c r="K16" s="10" t="s">
        <v>43</v>
      </c>
      <c r="L16" s="10" t="s">
        <v>79</v>
      </c>
      <c r="M16" s="10"/>
      <c r="N16" s="16"/>
      <c r="P16" s="9" t="str">
        <f t="shared" si="1"/>
        <v>else if (radio.value === "1_4_account") {textInput.value = "SCRAMBLE_NORMAL_LAST8";}</v>
      </c>
      <c r="Q16" s="9" t="str">
        <f t="shared" si="6"/>
        <v>insert into cotdl.TBL_LKPIISCRTYPE values('1_4_account', 1, '1급', 4, '신용정보/금융정보', 'account', '계좌번호', 'SCRAMBLE_NORMAL_LAST8', 'SCRAMBLE', 'NORMAL', 'LAST8', '', '');</v>
      </c>
    </row>
    <row r="17" spans="1:17">
      <c r="A17" s="10">
        <v>16</v>
      </c>
      <c r="B17" s="10" t="s">
        <v>82</v>
      </c>
      <c r="C17" s="10" t="str">
        <f t="shared" si="2"/>
        <v>1</v>
      </c>
      <c r="D17" s="10" t="str">
        <f t="shared" si="3"/>
        <v>1급</v>
      </c>
      <c r="E17" s="10" t="str">
        <f t="shared" si="4"/>
        <v>4</v>
      </c>
      <c r="F17" s="10" t="s">
        <v>77</v>
      </c>
      <c r="G17" s="10" t="str">
        <f t="shared" si="5"/>
        <v>cardReplacement</v>
      </c>
      <c r="H17" s="10" t="s">
        <v>83</v>
      </c>
      <c r="I17" s="11" t="str">
        <f t="shared" si="0"/>
        <v>SCRAMBLE_NORMAL_LAST8</v>
      </c>
      <c r="J17" s="10" t="s">
        <v>37</v>
      </c>
      <c r="K17" s="10" t="s">
        <v>43</v>
      </c>
      <c r="L17" s="10" t="s">
        <v>79</v>
      </c>
      <c r="M17" s="10"/>
      <c r="N17" s="16"/>
      <c r="P17" s="9" t="str">
        <f t="shared" si="1"/>
        <v>else if (radio.value === "1_4_cardReplacement") {textInput.value = "SCRAMBLE_NORMAL_LAST8";}</v>
      </c>
      <c r="Q17" s="9" t="str">
        <f t="shared" si="6"/>
        <v>insert into cotdl.TBL_LKPIISCRTYPE values('1_4_cardReplacement', 1, '1급', 4, '신용정보/금융정보', 'cardReplacement', '카드대체번호', 'SCRAMBLE_NORMAL_LAST8', 'SCRAMBLE', 'NORMAL', 'LAST8', '', '');</v>
      </c>
    </row>
    <row r="18" spans="1:17" s="17" customFormat="1">
      <c r="A18" s="10">
        <v>17</v>
      </c>
      <c r="B18" s="16" t="s">
        <v>84</v>
      </c>
      <c r="C18" s="16" t="str">
        <f t="shared" si="2"/>
        <v>1</v>
      </c>
      <c r="D18" s="16" t="str">
        <f t="shared" si="3"/>
        <v>1급</v>
      </c>
      <c r="E18" s="16" t="str">
        <f t="shared" si="4"/>
        <v>4</v>
      </c>
      <c r="F18" s="16" t="s">
        <v>77</v>
      </c>
      <c r="G18" s="16" t="str">
        <f t="shared" si="5"/>
        <v>cardExpiration</v>
      </c>
      <c r="H18" s="16" t="s">
        <v>85</v>
      </c>
      <c r="I18" s="11" t="str">
        <f t="shared" si="0"/>
        <v>FIXED_11/11</v>
      </c>
      <c r="J18" s="10" t="s">
        <v>56</v>
      </c>
      <c r="K18" s="18" t="str">
        <f>"11/11"</f>
        <v>11/11</v>
      </c>
      <c r="L18" s="16"/>
      <c r="M18" s="16"/>
      <c r="N18" s="16"/>
      <c r="O18" s="17" t="s">
        <v>64</v>
      </c>
      <c r="P18" s="9" t="str">
        <f t="shared" si="1"/>
        <v>else if (radio.value === "1_4_cardExpiration") {textInput.value = "FIXED_11/11";}</v>
      </c>
      <c r="Q18" s="9" t="str">
        <f t="shared" si="6"/>
        <v>insert into cotdl.TBL_LKPIISCRTYPE values('1_4_cardExpiration', 1, '1급', 4, '신용정보/금융정보', 'cardExpiration', '카드유효년월', 'FIXED_11/11', 'FIXED', '11/11', '', '', '');</v>
      </c>
    </row>
    <row r="19" spans="1:17">
      <c r="A19" s="10">
        <v>18</v>
      </c>
      <c r="B19" s="10" t="s">
        <v>86</v>
      </c>
      <c r="C19" s="10" t="str">
        <f t="shared" si="2"/>
        <v>1</v>
      </c>
      <c r="D19" s="10" t="str">
        <f t="shared" si="3"/>
        <v>1급</v>
      </c>
      <c r="E19" s="10" t="str">
        <f t="shared" si="4"/>
        <v>4</v>
      </c>
      <c r="F19" s="10" t="s">
        <v>77</v>
      </c>
      <c r="G19" s="10" t="str">
        <f t="shared" si="5"/>
        <v>cvv</v>
      </c>
      <c r="H19" s="10" t="s">
        <v>87</v>
      </c>
      <c r="I19" s="11" t="str">
        <f t="shared" si="0"/>
        <v>FIXED_111</v>
      </c>
      <c r="J19" s="10" t="s">
        <v>56</v>
      </c>
      <c r="K19" s="10">
        <v>111</v>
      </c>
      <c r="L19" s="10"/>
      <c r="M19" s="10"/>
      <c r="N19" s="10"/>
      <c r="P19" s="9" t="str">
        <f t="shared" si="1"/>
        <v>else if (radio.value === "1_4_cvv") {textInput.value = "FIXED_111";}</v>
      </c>
      <c r="Q19" s="9" t="str">
        <f t="shared" si="6"/>
        <v>insert into cotdl.TBL_LKPIISCRTYPE values('1_4_cvv', 1, '1급', 4, '신용정보/금융정보', 'cvv', 'CVV/PVV/ICVV/ICVC', 'FIXED_111', 'FIXED', '111', '', '', '');</v>
      </c>
    </row>
    <row r="20" spans="1:17">
      <c r="A20" s="10">
        <v>19</v>
      </c>
      <c r="B20" s="10" t="s">
        <v>88</v>
      </c>
      <c r="C20" s="10" t="str">
        <f t="shared" si="2"/>
        <v>1</v>
      </c>
      <c r="D20" s="10" t="str">
        <f t="shared" si="3"/>
        <v>1급</v>
      </c>
      <c r="E20" s="10" t="str">
        <f t="shared" si="4"/>
        <v>5</v>
      </c>
      <c r="F20" s="10" t="s">
        <v>89</v>
      </c>
      <c r="G20" s="10" t="str">
        <f t="shared" si="5"/>
        <v>healthStatus</v>
      </c>
      <c r="H20" s="10" t="s">
        <v>90</v>
      </c>
      <c r="I20" s="11" t="str">
        <f t="shared" si="0"/>
        <v>FIXED_*</v>
      </c>
      <c r="J20" s="10" t="s">
        <v>56</v>
      </c>
      <c r="K20" s="16" t="s">
        <v>57</v>
      </c>
      <c r="L20" s="16"/>
      <c r="M20" s="10"/>
      <c r="N20" s="10"/>
      <c r="P20" s="9" t="str">
        <f t="shared" si="1"/>
        <v>else if (radio.value === "1_5_healthStatus") {textInput.value = "FIXED_*";}</v>
      </c>
      <c r="Q20" s="9" t="str">
        <f t="shared" si="6"/>
        <v>insert into cotdl.TBL_LKPIISCRTYPE values('1_5_healthStatus', 1, '1급', 5, '의료정보', 'healthStatus', '건강상태', 'FIXED_*', 'FIXED', '*', '', '', '');</v>
      </c>
    </row>
    <row r="21" spans="1:17">
      <c r="A21" s="10">
        <v>20</v>
      </c>
      <c r="B21" s="10" t="s">
        <v>91</v>
      </c>
      <c r="C21" s="10" t="str">
        <f t="shared" si="2"/>
        <v>1</v>
      </c>
      <c r="D21" s="10" t="str">
        <f t="shared" si="3"/>
        <v>1급</v>
      </c>
      <c r="E21" s="10" t="str">
        <f t="shared" si="4"/>
        <v>5</v>
      </c>
      <c r="F21" s="10" t="s">
        <v>89</v>
      </c>
      <c r="G21" s="10" t="str">
        <f t="shared" si="5"/>
        <v>medicalRecords</v>
      </c>
      <c r="H21" s="10" t="s">
        <v>92</v>
      </c>
      <c r="I21" s="11" t="str">
        <f t="shared" si="0"/>
        <v>FIXED_*</v>
      </c>
      <c r="J21" s="10" t="s">
        <v>56</v>
      </c>
      <c r="K21" s="16" t="s">
        <v>57</v>
      </c>
      <c r="L21" s="16"/>
      <c r="M21" s="10"/>
      <c r="N21" s="10"/>
      <c r="P21" s="9" t="str">
        <f t="shared" si="1"/>
        <v>else if (radio.value === "1_5_medicalRecords") {textInput.value = "FIXED_*";}</v>
      </c>
      <c r="Q21" s="9" t="str">
        <f t="shared" si="6"/>
        <v>insert into cotdl.TBL_LKPIISCRTYPE values('1_5_medicalRecords', 1, '1급', 5, '의료정보', 'medicalRecords', '진료기록', 'FIXED_*', 'FIXED', '*', '', '', '');</v>
      </c>
    </row>
    <row r="22" spans="1:17">
      <c r="A22" s="10">
        <v>21</v>
      </c>
      <c r="B22" s="10" t="s">
        <v>93</v>
      </c>
      <c r="C22" s="10" t="str">
        <f t="shared" si="2"/>
        <v>1</v>
      </c>
      <c r="D22" s="10" t="str">
        <f t="shared" si="3"/>
        <v>1급</v>
      </c>
      <c r="E22" s="10" t="str">
        <f t="shared" si="4"/>
        <v>6</v>
      </c>
      <c r="F22" s="10" t="s">
        <v>94</v>
      </c>
      <c r="G22" s="10" t="str">
        <f t="shared" si="5"/>
        <v>location</v>
      </c>
      <c r="H22" s="10" t="s">
        <v>95</v>
      </c>
      <c r="I22" s="11" t="str">
        <f t="shared" si="0"/>
        <v>FIXED_*</v>
      </c>
      <c r="J22" s="10" t="s">
        <v>56</v>
      </c>
      <c r="K22" s="16" t="s">
        <v>57</v>
      </c>
      <c r="L22" s="16"/>
      <c r="M22" s="10"/>
      <c r="N22" s="10"/>
      <c r="P22" s="9" t="str">
        <f t="shared" si="1"/>
        <v>else if (radio.value === "1_6_location") {textInput.value = "FIXED_*";}</v>
      </c>
      <c r="Q22" s="9" t="str">
        <f t="shared" si="6"/>
        <v>insert into cotdl.TBL_LKPIISCRTYPE values('1_6_location', 1, '1급', 6, '위치정보', 'location', '개인 위치 정보', 'FIXED_*', 'FIXED', '*', '', '', '');</v>
      </c>
    </row>
    <row r="23" spans="1:17">
      <c r="A23" s="10">
        <v>22</v>
      </c>
      <c r="B23" s="10" t="s">
        <v>96</v>
      </c>
      <c r="C23" s="10" t="str">
        <f t="shared" si="2"/>
        <v>2</v>
      </c>
      <c r="D23" s="10" t="str">
        <f t="shared" si="3"/>
        <v>2급</v>
      </c>
      <c r="E23" s="10" t="str">
        <f t="shared" si="4"/>
        <v>1</v>
      </c>
      <c r="F23" s="10" t="s">
        <v>97</v>
      </c>
      <c r="G23" s="10" t="str">
        <f t="shared" si="5"/>
        <v>name</v>
      </c>
      <c r="H23" s="19" t="s">
        <v>98</v>
      </c>
      <c r="I23" s="11" t="str">
        <f t="shared" si="0"/>
        <v>SCRAMBLE_NORMAL_ALL</v>
      </c>
      <c r="J23" s="10" t="s">
        <v>37</v>
      </c>
      <c r="K23" s="10" t="s">
        <v>43</v>
      </c>
      <c r="L23" s="10" t="s">
        <v>99</v>
      </c>
      <c r="M23" s="10"/>
      <c r="N23" s="10"/>
      <c r="P23" s="9" t="str">
        <f t="shared" si="1"/>
        <v>else if (radio.value === "2_1_name") {textInput.value = "SCRAMBLE_NORMAL_ALL";}</v>
      </c>
      <c r="Q23" s="9" t="str">
        <f t="shared" si="6"/>
        <v>insert into cotdl.TBL_LKPIISCRTYPE values('2_1_name', 2, '2급', 1, '개인식별정보', 'name', '성명(개인/법인)', 'SCRAMBLE_NORMAL_ALL', 'SCRAMBLE', 'NORMAL', 'ALL', '', '');</v>
      </c>
    </row>
    <row r="24" spans="1:17" s="17" customFormat="1">
      <c r="A24" s="10">
        <v>23</v>
      </c>
      <c r="B24" s="16" t="s">
        <v>100</v>
      </c>
      <c r="C24" s="16" t="str">
        <f t="shared" si="2"/>
        <v>2</v>
      </c>
      <c r="D24" s="16" t="str">
        <f t="shared" si="3"/>
        <v>2급</v>
      </c>
      <c r="E24" s="16" t="str">
        <f t="shared" si="4"/>
        <v>1</v>
      </c>
      <c r="F24" s="16" t="s">
        <v>101</v>
      </c>
      <c r="G24" s="16" t="str">
        <f t="shared" si="5"/>
        <v>dob</v>
      </c>
      <c r="H24" s="16" t="s">
        <v>102</v>
      </c>
      <c r="I24" s="11" t="str">
        <f t="shared" si="0"/>
        <v>SCRAMBLE_YYMMDD_ALL</v>
      </c>
      <c r="J24" s="10" t="s">
        <v>37</v>
      </c>
      <c r="K24" s="20" t="s">
        <v>103</v>
      </c>
      <c r="L24" s="10" t="s">
        <v>99</v>
      </c>
      <c r="M24" s="16"/>
      <c r="N24" s="17" t="s">
        <v>104</v>
      </c>
      <c r="O24" s="16" t="s">
        <v>105</v>
      </c>
      <c r="P24" s="9" t="str">
        <f t="shared" si="1"/>
        <v>else if (radio.value === "2_1_dob") {textInput.value = "SCRAMBLE_YYMMDD_ALL";}</v>
      </c>
      <c r="Q24" s="9" t="str">
        <f t="shared" si="6"/>
        <v>insert into cotdl.TBL_LKPIISCRTYPE values('2_1_dob', 2, '2급', 1, '개인식별정보', 'dob', '생년월일', 'SCRAMBLE_YYMMDD_ALL', 'SCRAMBLE', 'YYMMDD', 'ALL', '', '8, 6 자리 모두 처리');</v>
      </c>
    </row>
    <row r="25" spans="1:17" s="17" customFormat="1">
      <c r="A25" s="10">
        <v>24</v>
      </c>
      <c r="B25" s="16" t="s">
        <v>106</v>
      </c>
      <c r="C25" s="16" t="str">
        <f t="shared" si="2"/>
        <v>2</v>
      </c>
      <c r="D25" s="16" t="str">
        <f t="shared" si="3"/>
        <v>2급</v>
      </c>
      <c r="E25" s="16" t="str">
        <f t="shared" si="4"/>
        <v>1</v>
      </c>
      <c r="F25" s="16" t="s">
        <v>101</v>
      </c>
      <c r="G25" s="16" t="str">
        <f t="shared" si="5"/>
        <v>gender</v>
      </c>
      <c r="H25" s="16" t="s">
        <v>107</v>
      </c>
      <c r="I25" s="11" t="str">
        <f t="shared" si="0"/>
        <v>FIXED_*</v>
      </c>
      <c r="J25" s="10" t="s">
        <v>56</v>
      </c>
      <c r="K25" s="16" t="s">
        <v>57</v>
      </c>
      <c r="L25" s="16"/>
      <c r="M25" s="16"/>
      <c r="N25" s="16"/>
      <c r="P25" s="9" t="str">
        <f t="shared" si="1"/>
        <v>else if (radio.value === "2_1_gender") {textInput.value = "FIXED_*";}</v>
      </c>
      <c r="Q25" s="9" t="str">
        <f t="shared" si="6"/>
        <v>insert into cotdl.TBL_LKPIISCRTYPE values('2_1_gender', 2, '2급', 1, '개인식별정보', 'gender', '성별', 'FIXED_*', 'FIXED', '*', '', '', '');</v>
      </c>
    </row>
    <row r="26" spans="1:17" s="23" customFormat="1">
      <c r="A26" s="21">
        <v>25</v>
      </c>
      <c r="B26" s="21" t="s">
        <v>108</v>
      </c>
      <c r="C26" s="21" t="str">
        <f t="shared" si="2"/>
        <v>2</v>
      </c>
      <c r="D26" s="21" t="str">
        <f t="shared" si="3"/>
        <v>2급</v>
      </c>
      <c r="E26" s="21" t="str">
        <f t="shared" si="4"/>
        <v>1</v>
      </c>
      <c r="F26" s="21" t="s">
        <v>101</v>
      </c>
      <c r="G26" s="21" t="str">
        <f t="shared" si="5"/>
        <v>age</v>
      </c>
      <c r="H26" s="21" t="s">
        <v>109</v>
      </c>
      <c r="I26" s="22" t="str">
        <f t="shared" si="0"/>
        <v>PASS_</v>
      </c>
      <c r="J26" s="22" t="s">
        <v>110</v>
      </c>
      <c r="K26" s="21"/>
      <c r="L26" s="21"/>
      <c r="M26" s="21"/>
      <c r="N26" s="21" t="s">
        <v>111</v>
      </c>
      <c r="P26" s="23" t="str">
        <f t="shared" si="1"/>
        <v>else if (radio.value === "2_1_age") {textInput.value = "PASS_";}</v>
      </c>
      <c r="Q26" s="23" t="str">
        <f t="shared" si="6"/>
        <v>insert into cotdl.TBL_LKPIISCRTYPE values('2_1_age', 2, '2급', 1, '개인식별정보', 'age', '연령', 'PASS_', 'PASS', '', '', '', '숫자로 되어야 ');</v>
      </c>
    </row>
    <row r="27" spans="1:17">
      <c r="A27" s="10">
        <v>26</v>
      </c>
      <c r="B27" s="10" t="s">
        <v>112</v>
      </c>
      <c r="C27" s="10" t="str">
        <f t="shared" si="2"/>
        <v>2</v>
      </c>
      <c r="D27" s="10" t="str">
        <f t="shared" si="3"/>
        <v>2급</v>
      </c>
      <c r="E27" s="10" t="str">
        <f t="shared" si="4"/>
        <v>1</v>
      </c>
      <c r="F27" s="10" t="s">
        <v>101</v>
      </c>
      <c r="G27" s="10" t="str">
        <f t="shared" si="5"/>
        <v>cidi</v>
      </c>
      <c r="H27" s="10" t="s">
        <v>113</v>
      </c>
      <c r="I27" s="11" t="str">
        <f t="shared" si="0"/>
        <v>SCRAMBLE_NORMAL_ALL</v>
      </c>
      <c r="J27" s="10" t="s">
        <v>37</v>
      </c>
      <c r="K27" s="10" t="s">
        <v>43</v>
      </c>
      <c r="L27" s="10" t="s">
        <v>99</v>
      </c>
      <c r="M27" s="10"/>
      <c r="N27" s="10"/>
      <c r="P27" s="9" t="str">
        <f t="shared" si="1"/>
        <v>else if (radio.value === "2_1_cidi") {textInput.value = "SCRAMBLE_NORMAL_ALL";}</v>
      </c>
      <c r="Q27" s="9" t="str">
        <f t="shared" si="6"/>
        <v>insert into cotdl.TBL_LKPIISCRTYPE values('2_1_cidi', 2, '2급', 1, '개인식별정보', 'cidi', 'CI/DI', 'SCRAMBLE_NORMAL_ALL', 'SCRAMBLE', 'NORMAL', 'ALL', '', '');</v>
      </c>
    </row>
    <row r="28" spans="1:17" s="17" customFormat="1">
      <c r="A28" s="10">
        <v>27</v>
      </c>
      <c r="B28" s="16" t="s">
        <v>114</v>
      </c>
      <c r="C28" s="16" t="str">
        <f t="shared" si="2"/>
        <v>2</v>
      </c>
      <c r="D28" s="16" t="str">
        <f t="shared" si="3"/>
        <v>2급</v>
      </c>
      <c r="E28" s="16" t="str">
        <f t="shared" si="4"/>
        <v>2</v>
      </c>
      <c r="F28" s="16" t="s">
        <v>115</v>
      </c>
      <c r="G28" s="16" t="str">
        <f t="shared" si="5"/>
        <v>email</v>
      </c>
      <c r="H28" s="24" t="s">
        <v>116</v>
      </c>
      <c r="I28" s="25" t="str">
        <f t="shared" si="0"/>
        <v>SCRAMBLE_EMAIL_ALL</v>
      </c>
      <c r="J28" s="10" t="s">
        <v>37</v>
      </c>
      <c r="K28" s="10" t="s">
        <v>117</v>
      </c>
      <c r="L28" s="10" t="s">
        <v>99</v>
      </c>
      <c r="M28" s="16"/>
      <c r="N28" s="15" t="s">
        <v>118</v>
      </c>
      <c r="P28" s="9" t="str">
        <f t="shared" si="1"/>
        <v>else if (radio.value === "2_2_email") {textInput.value = "SCRAMBLE_EMAIL_ALL";}</v>
      </c>
      <c r="Q28" s="9" t="str">
        <f t="shared" si="6"/>
        <v>insert into cotdl.TBL_LKPIISCRTYPE values('2_2_email', 2, '2급', 2, '연락정보', 'email', '이메일', 'SCRAMBLE_EMAIL_ALL', 'SCRAMBLE', 'EMAIL', 'ALL', '', '@ 앞까지만 변환');</v>
      </c>
    </row>
    <row r="29" spans="1:17" s="17" customFormat="1">
      <c r="A29" s="10">
        <v>28</v>
      </c>
      <c r="B29" s="16" t="s">
        <v>119</v>
      </c>
      <c r="C29" s="16" t="str">
        <f t="shared" si="2"/>
        <v>2</v>
      </c>
      <c r="D29" s="16" t="str">
        <f t="shared" si="3"/>
        <v>2급</v>
      </c>
      <c r="E29" s="16" t="str">
        <f t="shared" si="4"/>
        <v>2</v>
      </c>
      <c r="F29" s="16" t="s">
        <v>115</v>
      </c>
      <c r="G29" s="16" t="str">
        <f t="shared" si="5"/>
        <v>telno</v>
      </c>
      <c r="H29" s="24" t="s">
        <v>120</v>
      </c>
      <c r="I29" s="11" t="str">
        <f t="shared" si="0"/>
        <v>SCRAMBLE_NORMAL_LAST7</v>
      </c>
      <c r="J29" s="10" t="s">
        <v>37</v>
      </c>
      <c r="K29" s="10" t="s">
        <v>43</v>
      </c>
      <c r="L29" s="10" t="s">
        <v>121</v>
      </c>
      <c r="M29" s="16"/>
      <c r="N29" s="16"/>
      <c r="P29" s="9" t="str">
        <f t="shared" si="1"/>
        <v>else if (radio.value === "2_2_telno") {textInput.value = "SCRAMBLE_NORMAL_LAST7";}</v>
      </c>
      <c r="Q29" s="9" t="str">
        <f t="shared" si="6"/>
        <v>insert into cotdl.TBL_LKPIISCRTYPE values('2_2_telno', 2, '2급', 2, '연락정보', 'telno', '전화번호', 'SCRAMBLE_NORMAL_LAST7', 'SCRAMBLE', 'NORMAL', 'LAST7', '', '');</v>
      </c>
    </row>
    <row r="30" spans="1:17" s="23" customFormat="1">
      <c r="A30" s="21">
        <v>29</v>
      </c>
      <c r="B30" s="21" t="s">
        <v>122</v>
      </c>
      <c r="C30" s="21" t="str">
        <f t="shared" si="2"/>
        <v>2</v>
      </c>
      <c r="D30" s="21" t="str">
        <f t="shared" si="3"/>
        <v>2급</v>
      </c>
      <c r="E30" s="21" t="str">
        <f t="shared" si="4"/>
        <v>2</v>
      </c>
      <c r="F30" s="21" t="s">
        <v>115</v>
      </c>
      <c r="G30" s="21" t="str">
        <f t="shared" si="5"/>
        <v>zipcode</v>
      </c>
      <c r="H30" s="26" t="s">
        <v>123</v>
      </c>
      <c r="I30" s="22" t="str">
        <f t="shared" si="0"/>
        <v>PASS_</v>
      </c>
      <c r="J30" s="22" t="s">
        <v>110</v>
      </c>
      <c r="K30" s="21"/>
      <c r="L30" s="21"/>
      <c r="M30" s="21"/>
      <c r="N30" s="21"/>
      <c r="P30" s="9" t="str">
        <f t="shared" si="1"/>
        <v>else if (radio.value === "2_2_zipcode") {textInput.value = "PASS_";}</v>
      </c>
      <c r="Q30" s="9" t="str">
        <f t="shared" si="6"/>
        <v>insert into cotdl.TBL_LKPIISCRTYPE values('2_2_zipcode', 2, '2급', 2, '연락정보', 'zipcode', '우편번호', 'PASS_', 'PASS', '', '', '', '');</v>
      </c>
    </row>
    <row r="31" spans="1:17" s="23" customFormat="1">
      <c r="A31" s="21">
        <v>30</v>
      </c>
      <c r="B31" s="21" t="s">
        <v>124</v>
      </c>
      <c r="C31" s="21" t="str">
        <f t="shared" si="2"/>
        <v>2</v>
      </c>
      <c r="D31" s="21" t="str">
        <f t="shared" si="3"/>
        <v>2급</v>
      </c>
      <c r="E31" s="21" t="str">
        <f t="shared" si="4"/>
        <v>2</v>
      </c>
      <c r="F31" s="21" t="s">
        <v>115</v>
      </c>
      <c r="G31" s="21" t="str">
        <f t="shared" si="5"/>
        <v>address1</v>
      </c>
      <c r="H31" s="26" t="s">
        <v>125</v>
      </c>
      <c r="I31" s="22" t="str">
        <f t="shared" si="0"/>
        <v>PASS_</v>
      </c>
      <c r="J31" s="22" t="s">
        <v>110</v>
      </c>
      <c r="K31" s="21"/>
      <c r="L31" s="21"/>
      <c r="M31" s="21"/>
      <c r="N31" s="21"/>
      <c r="P31" s="9" t="str">
        <f t="shared" si="1"/>
        <v>else if (radio.value === "2_2_address1") {textInput.value = "PASS_";}</v>
      </c>
      <c r="Q31" s="9" t="str">
        <f t="shared" si="6"/>
        <v>insert into cotdl.TBL_LKPIISCRTYPE values('2_2_address1', 2, '2급', 2, '연락정보', 'address1', '주소 상(행정구역)', 'PASS_', 'PASS', '', '', '', '');</v>
      </c>
    </row>
    <row r="32" spans="1:17" s="17" customFormat="1">
      <c r="A32" s="10">
        <v>31</v>
      </c>
      <c r="B32" s="16" t="s">
        <v>126</v>
      </c>
      <c r="C32" s="16" t="str">
        <f t="shared" si="2"/>
        <v>2</v>
      </c>
      <c r="D32" s="16" t="str">
        <f t="shared" si="3"/>
        <v>2급</v>
      </c>
      <c r="E32" s="16" t="str">
        <f t="shared" si="4"/>
        <v>2</v>
      </c>
      <c r="F32" s="16" t="s">
        <v>115</v>
      </c>
      <c r="G32" s="16" t="str">
        <f t="shared" si="5"/>
        <v>address2</v>
      </c>
      <c r="H32" s="24" t="s">
        <v>127</v>
      </c>
      <c r="I32" s="11" t="str">
        <f t="shared" si="0"/>
        <v>SCRAMBLE_NORMAL_ALL</v>
      </c>
      <c r="J32" s="10" t="s">
        <v>37</v>
      </c>
      <c r="K32" s="10" t="s">
        <v>43</v>
      </c>
      <c r="L32" s="10" t="s">
        <v>99</v>
      </c>
      <c r="M32" s="16"/>
      <c r="N32" s="16"/>
      <c r="P32" s="9" t="str">
        <f t="shared" si="1"/>
        <v>else if (radio.value === "2_2_address2") {textInput.value = "SCRAMBLE_NORMAL_ALL";}</v>
      </c>
      <c r="Q32" s="9" t="str">
        <f t="shared" si="6"/>
        <v>insert into cotdl.TBL_LKPIISCRTYPE values('2_2_address2', 2, '2급', 2, '연락정보', 'address2', '주소 하(상세영역)', 'SCRAMBLE_NORMAL_ALL', 'SCRAMBLE', 'NORMAL', 'ALL', '', '');</v>
      </c>
    </row>
    <row r="33" spans="1:17">
      <c r="A33" s="10">
        <v>32</v>
      </c>
      <c r="B33" s="10" t="s">
        <v>128</v>
      </c>
      <c r="C33" s="10" t="str">
        <f t="shared" si="2"/>
        <v>2</v>
      </c>
      <c r="D33" s="10" t="str">
        <f t="shared" si="3"/>
        <v>2급</v>
      </c>
      <c r="E33" s="10" t="str">
        <f t="shared" si="4"/>
        <v>3</v>
      </c>
      <c r="F33" s="10" t="s">
        <v>129</v>
      </c>
      <c r="G33" s="10" t="str">
        <f t="shared" si="5"/>
        <v>job</v>
      </c>
      <c r="H33" s="10" t="s">
        <v>130</v>
      </c>
      <c r="I33" s="11" t="str">
        <f t="shared" si="0"/>
        <v>FIXED_*</v>
      </c>
      <c r="J33" s="10" t="s">
        <v>56</v>
      </c>
      <c r="K33" s="16" t="s">
        <v>57</v>
      </c>
      <c r="L33" s="16"/>
      <c r="M33" s="10"/>
      <c r="N33" s="10"/>
      <c r="P33" s="9" t="str">
        <f t="shared" si="1"/>
        <v>else if (radio.value === "2_3_job") {textInput.value = "FIXED_*";}</v>
      </c>
      <c r="Q33" s="9" t="str">
        <f t="shared" si="6"/>
        <v>insert into cotdl.TBL_LKPIISCRTYPE values('2_3_job', 2, '2급', 3, '개인관련정보', 'job', '직업', 'FIXED_*', 'FIXED', '*', '', '', '');</v>
      </c>
    </row>
    <row r="34" spans="1:17">
      <c r="A34" s="10">
        <v>33</v>
      </c>
      <c r="B34" s="10" t="s">
        <v>131</v>
      </c>
      <c r="C34" s="10" t="str">
        <f t="shared" si="2"/>
        <v>2</v>
      </c>
      <c r="D34" s="10" t="str">
        <f t="shared" si="3"/>
        <v>2급</v>
      </c>
      <c r="E34" s="10" t="str">
        <f t="shared" si="4"/>
        <v>3</v>
      </c>
      <c r="F34" s="10" t="s">
        <v>129</v>
      </c>
      <c r="G34" s="10" t="str">
        <f t="shared" si="5"/>
        <v>education</v>
      </c>
      <c r="H34" s="10" t="s">
        <v>132</v>
      </c>
      <c r="I34" s="11" t="str">
        <f t="shared" si="0"/>
        <v>FIXED_*</v>
      </c>
      <c r="J34" s="10" t="s">
        <v>56</v>
      </c>
      <c r="K34" s="16" t="s">
        <v>57</v>
      </c>
      <c r="L34" s="16"/>
      <c r="M34" s="10"/>
      <c r="N34" s="10"/>
      <c r="P34" s="9" t="str">
        <f t="shared" si="1"/>
        <v>else if (radio.value === "2_3_education") {textInput.value = "FIXED_*";}</v>
      </c>
      <c r="Q34" s="9" t="str">
        <f t="shared" si="6"/>
        <v>insert into cotdl.TBL_LKPIISCRTYPE values('2_3_education', 2, '2급', 3, '개인관련정보', 'education', '학력', 'FIXED_*', 'FIXED', '*', '', '', '');</v>
      </c>
    </row>
    <row r="35" spans="1:17">
      <c r="A35" s="10">
        <v>34</v>
      </c>
      <c r="B35" s="10" t="s">
        <v>133</v>
      </c>
      <c r="C35" s="10" t="str">
        <f t="shared" si="2"/>
        <v>2</v>
      </c>
      <c r="D35" s="10" t="str">
        <f t="shared" si="3"/>
        <v>2급</v>
      </c>
      <c r="E35" s="10" t="str">
        <f t="shared" si="4"/>
        <v>3</v>
      </c>
      <c r="F35" s="10" t="s">
        <v>129</v>
      </c>
      <c r="G35" s="10" t="str">
        <f>MID(B35,5,100)</f>
        <v>photo</v>
      </c>
      <c r="H35" s="10" t="s">
        <v>134</v>
      </c>
      <c r="I35" s="11" t="str">
        <f t="shared" si="0"/>
        <v>FIXED_*</v>
      </c>
      <c r="J35" s="10" t="s">
        <v>56</v>
      </c>
      <c r="K35" s="16" t="s">
        <v>57</v>
      </c>
      <c r="L35" s="16"/>
      <c r="M35" s="10"/>
      <c r="N35" s="10"/>
      <c r="P35" s="9" t="str">
        <f t="shared" si="1"/>
        <v>else if (radio.value === "2_3_photo") {textInput.value = "FIXED_*";}</v>
      </c>
      <c r="Q35" s="9" t="str">
        <f t="shared" si="6"/>
        <v>insert into cotdl.TBL_LKPIISCRTYPE values('2_3_photo', 2, '2급', 3, '개인관련정보', 'photo', '사진', 'FIXED_*', 'FIXED', '*', '', '', '');</v>
      </c>
    </row>
    <row r="36" spans="1:17" s="17" customFormat="1">
      <c r="A36" s="10">
        <v>35</v>
      </c>
      <c r="B36" s="16" t="s">
        <v>135</v>
      </c>
      <c r="C36" s="16" t="str">
        <f t="shared" si="2"/>
        <v>2</v>
      </c>
      <c r="D36" s="16" t="str">
        <f t="shared" si="3"/>
        <v>2급</v>
      </c>
      <c r="E36" s="16" t="str">
        <f t="shared" si="4"/>
        <v>3</v>
      </c>
      <c r="F36" s="16" t="s">
        <v>129</v>
      </c>
      <c r="G36" s="16" t="str">
        <f t="shared" si="5"/>
        <v>height</v>
      </c>
      <c r="H36" s="16" t="s">
        <v>136</v>
      </c>
      <c r="I36" s="11" t="str">
        <f t="shared" si="0"/>
        <v>FIXED_50</v>
      </c>
      <c r="J36" s="10" t="s">
        <v>56</v>
      </c>
      <c r="K36" s="16">
        <v>50</v>
      </c>
      <c r="L36" s="16"/>
      <c r="M36" s="16"/>
      <c r="N36" s="21" t="s">
        <v>111</v>
      </c>
      <c r="P36" s="9" t="str">
        <f t="shared" si="1"/>
        <v>else if (radio.value === "2_3_height") {textInput.value = "FIXED_50";}</v>
      </c>
      <c r="Q36" s="9" t="str">
        <f t="shared" si="6"/>
        <v>insert into cotdl.TBL_LKPIISCRTYPE values('2_3_height', 2, '2급', 3, '개인관련정보', 'height', '키', 'FIXED_50', 'FIXED', '50', '', '', '숫자로 되어야 ');</v>
      </c>
    </row>
    <row r="37" spans="1:17" s="17" customFormat="1">
      <c r="A37" s="10">
        <v>36</v>
      </c>
      <c r="B37" s="16" t="s">
        <v>137</v>
      </c>
      <c r="C37" s="16" t="str">
        <f t="shared" si="2"/>
        <v>2</v>
      </c>
      <c r="D37" s="16" t="str">
        <f t="shared" si="3"/>
        <v>2급</v>
      </c>
      <c r="E37" s="16" t="str">
        <f t="shared" si="4"/>
        <v>3</v>
      </c>
      <c r="F37" s="16" t="s">
        <v>129</v>
      </c>
      <c r="G37" s="16" t="str">
        <f t="shared" si="5"/>
        <v>weight</v>
      </c>
      <c r="H37" s="16" t="s">
        <v>138</v>
      </c>
      <c r="I37" s="11" t="str">
        <f t="shared" si="0"/>
        <v>FIXED_50</v>
      </c>
      <c r="J37" s="10" t="s">
        <v>56</v>
      </c>
      <c r="K37" s="16">
        <v>50</v>
      </c>
      <c r="L37" s="16"/>
      <c r="M37" s="16"/>
      <c r="N37" s="21" t="s">
        <v>111</v>
      </c>
      <c r="P37" s="9" t="str">
        <f t="shared" si="1"/>
        <v>else if (radio.value === "2_3_weight") {textInput.value = "FIXED_50";}</v>
      </c>
      <c r="Q37" s="9" t="str">
        <f t="shared" si="6"/>
        <v>insert into cotdl.TBL_LKPIISCRTYPE values('2_3_weight', 2, '2급', 3, '개인관련정보', 'weight', '몸무게', 'FIXED_50', 'FIXED', '50', '', '', '숫자로 되어야 ');</v>
      </c>
    </row>
    <row r="38" spans="1:17" s="17" customFormat="1">
      <c r="A38" s="10">
        <v>37</v>
      </c>
      <c r="B38" s="16" t="s">
        <v>139</v>
      </c>
      <c r="C38" s="16" t="str">
        <f t="shared" si="2"/>
        <v>2</v>
      </c>
      <c r="D38" s="16" t="str">
        <f t="shared" si="3"/>
        <v>2급</v>
      </c>
      <c r="E38" s="16" t="str">
        <f t="shared" si="4"/>
        <v>3</v>
      </c>
      <c r="F38" s="16" t="s">
        <v>129</v>
      </c>
      <c r="G38" s="16" t="str">
        <f t="shared" si="5"/>
        <v>maritalStatus</v>
      </c>
      <c r="H38" s="16" t="s">
        <v>140</v>
      </c>
      <c r="I38" s="11" t="str">
        <f t="shared" si="0"/>
        <v>FIXED_*</v>
      </c>
      <c r="J38" s="10" t="s">
        <v>56</v>
      </c>
      <c r="K38" s="16" t="s">
        <v>57</v>
      </c>
      <c r="L38" s="16"/>
      <c r="M38" s="16"/>
      <c r="N38" s="16"/>
      <c r="P38" s="9" t="str">
        <f t="shared" si="1"/>
        <v>else if (radio.value === "2_3_maritalStatus") {textInput.value = "FIXED_*";}</v>
      </c>
      <c r="Q38" s="9" t="str">
        <f t="shared" si="6"/>
        <v>insert into cotdl.TBL_LKPIISCRTYPE values('2_3_maritalStatus', 2, '2급', 3, '개인관련정보', 'maritalStatus', '혼인여부', 'FIXED_*', 'FIXED', '*', '', '', '');</v>
      </c>
    </row>
    <row r="39" spans="1:17">
      <c r="A39" s="10">
        <v>38</v>
      </c>
      <c r="B39" s="10" t="s">
        <v>141</v>
      </c>
      <c r="C39" s="10" t="str">
        <f t="shared" si="2"/>
        <v>2</v>
      </c>
      <c r="D39" s="10" t="str">
        <f t="shared" si="3"/>
        <v>2급</v>
      </c>
      <c r="E39" s="10" t="str">
        <f t="shared" si="4"/>
        <v>3</v>
      </c>
      <c r="F39" s="10" t="s">
        <v>129</v>
      </c>
      <c r="G39" s="10" t="str">
        <f t="shared" si="5"/>
        <v>familyStatus</v>
      </c>
      <c r="H39" s="10" t="s">
        <v>142</v>
      </c>
      <c r="I39" s="11" t="str">
        <f t="shared" si="0"/>
        <v>FIXED_*</v>
      </c>
      <c r="J39" s="10" t="s">
        <v>56</v>
      </c>
      <c r="K39" s="16" t="s">
        <v>57</v>
      </c>
      <c r="L39" s="16"/>
      <c r="M39" s="10"/>
      <c r="N39" s="10"/>
      <c r="P39" s="9" t="str">
        <f t="shared" si="1"/>
        <v>else if (radio.value === "2_3_familyStatus") {textInput.value = "FIXED_*";}</v>
      </c>
      <c r="Q39" s="9" t="str">
        <f t="shared" si="6"/>
        <v>insert into cotdl.TBL_LKPIISCRTYPE values('2_3_familyStatus', 2, '2급', 3, '개인관련정보', 'familyStatus', '가족상황', 'FIXED_*', 'FIXED', '*', '', '', '');</v>
      </c>
    </row>
    <row r="40" spans="1:17">
      <c r="A40" s="10">
        <v>39</v>
      </c>
      <c r="B40" s="10" t="s">
        <v>143</v>
      </c>
      <c r="C40" s="10" t="str">
        <f t="shared" si="2"/>
        <v>2</v>
      </c>
      <c r="D40" s="10" t="str">
        <f t="shared" si="3"/>
        <v>2급</v>
      </c>
      <c r="E40" s="10" t="str">
        <f t="shared" si="4"/>
        <v>3</v>
      </c>
      <c r="F40" s="10" t="s">
        <v>129</v>
      </c>
      <c r="G40" s="10" t="str">
        <f t="shared" si="5"/>
        <v>hobbies</v>
      </c>
      <c r="H40" s="10" t="s">
        <v>144</v>
      </c>
      <c r="I40" s="11" t="str">
        <f t="shared" si="0"/>
        <v>FIXED_*</v>
      </c>
      <c r="J40" s="10" t="s">
        <v>56</v>
      </c>
      <c r="K40" s="16" t="s">
        <v>57</v>
      </c>
      <c r="L40" s="16"/>
      <c r="M40" s="10"/>
      <c r="N40" s="10"/>
      <c r="P40" s="9" t="str">
        <f t="shared" si="1"/>
        <v>else if (radio.value === "2_3_hobbies") {textInput.value = "FIXED_*";}</v>
      </c>
      <c r="Q40" s="9" t="str">
        <f t="shared" si="6"/>
        <v>insert into cotdl.TBL_LKPIISCRTYPE values('2_3_hobbies', 2, '2급', 3, '개인관련정보', 'hobbies', '취미', 'FIXED_*', 'FIXED', '*', '', '', '');</v>
      </c>
    </row>
    <row r="41" spans="1:17" s="17" customFormat="1">
      <c r="A41" s="10">
        <v>40</v>
      </c>
      <c r="B41" s="16" t="s">
        <v>145</v>
      </c>
      <c r="C41" s="16" t="str">
        <f t="shared" si="2"/>
        <v>3</v>
      </c>
      <c r="D41" s="16" t="str">
        <f t="shared" si="3"/>
        <v>3급</v>
      </c>
      <c r="E41" s="16" t="str">
        <f t="shared" si="4"/>
        <v>1</v>
      </c>
      <c r="F41" s="16" t="s">
        <v>146</v>
      </c>
      <c r="G41" s="16" t="str">
        <f t="shared" si="5"/>
        <v>ipAddress</v>
      </c>
      <c r="H41" s="16" t="s">
        <v>147</v>
      </c>
      <c r="I41" s="11" t="str">
        <f t="shared" si="0"/>
        <v>SCRAMBLE_NORMAL_ALL</v>
      </c>
      <c r="J41" s="10" t="s">
        <v>37</v>
      </c>
      <c r="K41" s="10" t="s">
        <v>43</v>
      </c>
      <c r="L41" s="10" t="s">
        <v>99</v>
      </c>
      <c r="M41" s="16"/>
      <c r="O41" s="16" t="s">
        <v>64</v>
      </c>
      <c r="P41" s="9" t="str">
        <f t="shared" si="1"/>
        <v>else if (radio.value === "3_1_ipAddress") {textInput.value = "SCRAMBLE_NORMAL_ALL";}</v>
      </c>
      <c r="Q41" s="9" t="str">
        <f t="shared" si="6"/>
        <v>insert into cotdl.TBL_LKPIISCRTYPE values('3_1_ipAddress', 3, '3급', 1, '자동 생성 정보', 'ipAddress', 'IP 주소', 'SCRAMBLE_NORMAL_ALL', 'SCRAMBLE', 'NORMAL', 'ALL', '', '');</v>
      </c>
    </row>
    <row r="42" spans="1:17" s="17" customFormat="1">
      <c r="A42" s="10">
        <v>41</v>
      </c>
      <c r="B42" s="16" t="s">
        <v>148</v>
      </c>
      <c r="C42" s="16" t="str">
        <f t="shared" si="2"/>
        <v>3</v>
      </c>
      <c r="D42" s="16" t="str">
        <f t="shared" si="3"/>
        <v>3급</v>
      </c>
      <c r="E42" s="16" t="str">
        <f t="shared" si="4"/>
        <v>1</v>
      </c>
      <c r="F42" s="16" t="s">
        <v>146</v>
      </c>
      <c r="G42" s="16" t="str">
        <f t="shared" si="5"/>
        <v>macAddress</v>
      </c>
      <c r="H42" s="16" t="s">
        <v>149</v>
      </c>
      <c r="I42" s="11" t="str">
        <f t="shared" si="0"/>
        <v>SCRAMBLE_NORMAL_ALL</v>
      </c>
      <c r="J42" s="10" t="s">
        <v>37</v>
      </c>
      <c r="K42" s="10" t="s">
        <v>43</v>
      </c>
      <c r="L42" s="10" t="s">
        <v>99</v>
      </c>
      <c r="M42" s="16"/>
      <c r="O42" s="16" t="s">
        <v>64</v>
      </c>
      <c r="P42" s="9" t="str">
        <f t="shared" si="1"/>
        <v>else if (radio.value === "3_1_macAddress") {textInput.value = "SCRAMBLE_NORMAL_ALL";}</v>
      </c>
      <c r="Q42" s="9" t="str">
        <f t="shared" si="6"/>
        <v>insert into cotdl.TBL_LKPIISCRTYPE values('3_1_macAddress', 3, '3급', 1, '자동 생성 정보', 'macAddress', 'MAC 주소', 'SCRAMBLE_NORMAL_ALL', 'SCRAMBLE', 'NORMAL', 'ALL', '', '');</v>
      </c>
    </row>
    <row r="43" spans="1:17" s="17" customFormat="1">
      <c r="A43" s="10">
        <v>42</v>
      </c>
      <c r="B43" s="16" t="s">
        <v>150</v>
      </c>
      <c r="C43" s="16" t="str">
        <f t="shared" si="2"/>
        <v>3</v>
      </c>
      <c r="D43" s="16" t="str">
        <f t="shared" si="3"/>
        <v>3급</v>
      </c>
      <c r="E43" s="16" t="str">
        <f t="shared" si="4"/>
        <v>1</v>
      </c>
      <c r="F43" s="16" t="s">
        <v>151</v>
      </c>
      <c r="G43" s="16" t="str">
        <f t="shared" si="5"/>
        <v>imei</v>
      </c>
      <c r="H43" s="16" t="s">
        <v>152</v>
      </c>
      <c r="I43" s="11" t="str">
        <f t="shared" si="0"/>
        <v>SCRAMBLE_NORMAL_ALL</v>
      </c>
      <c r="J43" s="10" t="s">
        <v>37</v>
      </c>
      <c r="K43" s="10" t="s">
        <v>43</v>
      </c>
      <c r="L43" s="10" t="s">
        <v>99</v>
      </c>
      <c r="M43" s="16"/>
      <c r="O43" s="16" t="s">
        <v>64</v>
      </c>
      <c r="P43" s="9" t="str">
        <f t="shared" si="1"/>
        <v>else if (radio.value === "3_1_imei") {textInput.value = "SCRAMBLE_NORMAL_ALL";}</v>
      </c>
      <c r="Q43" s="9" t="str">
        <f t="shared" si="6"/>
        <v>insert into cotdl.TBL_LKPIISCRTYPE values('3_1_imei', 3, '3급', 1, '자동 생성 정보', 'imei', 'IMEI', 'SCRAMBLE_NORMAL_ALL', 'SCRAMBLE', 'NORMAL', 'ALL', '', '');</v>
      </c>
    </row>
    <row r="44" spans="1:17" s="17" customFormat="1">
      <c r="A44" s="10">
        <v>43</v>
      </c>
      <c r="B44" s="16" t="s">
        <v>153</v>
      </c>
      <c r="C44" s="16" t="str">
        <f t="shared" si="2"/>
        <v>3</v>
      </c>
      <c r="D44" s="16" t="str">
        <f t="shared" si="3"/>
        <v>3급</v>
      </c>
      <c r="E44" s="16" t="str">
        <f t="shared" si="4"/>
        <v>1</v>
      </c>
      <c r="F44" s="16" t="s">
        <v>151</v>
      </c>
      <c r="G44" s="16" t="str">
        <f t="shared" si="5"/>
        <v>uuid</v>
      </c>
      <c r="H44" s="16" t="s">
        <v>154</v>
      </c>
      <c r="I44" s="11" t="str">
        <f t="shared" si="0"/>
        <v>SCRAMBLE_NORMAL_ALL</v>
      </c>
      <c r="J44" s="10" t="s">
        <v>37</v>
      </c>
      <c r="K44" s="10" t="s">
        <v>43</v>
      </c>
      <c r="L44" s="10" t="s">
        <v>99</v>
      </c>
      <c r="M44" s="16"/>
      <c r="O44" s="16" t="s">
        <v>64</v>
      </c>
      <c r="P44" s="9" t="str">
        <f t="shared" si="1"/>
        <v>else if (radio.value === "3_1_uuid") {textInput.value = "SCRAMBLE_NORMAL_ALL";}</v>
      </c>
      <c r="Q44" s="9" t="str">
        <f t="shared" si="6"/>
        <v>insert into cotdl.TBL_LKPIISCRTYPE values('3_1_uuid', 3, '3급', 1, '자동 생성 정보', 'uuid', 'UUID', 'SCRAMBLE_NORMAL_ALL', 'SCRAMBLE', 'NORMAL', 'ALL', '', '');</v>
      </c>
    </row>
    <row r="45" spans="1:17" s="17" customFormat="1">
      <c r="A45" s="10">
        <v>44</v>
      </c>
      <c r="B45" s="16" t="s">
        <v>155</v>
      </c>
      <c r="C45" s="16" t="str">
        <f t="shared" si="2"/>
        <v>3</v>
      </c>
      <c r="D45" s="16" t="str">
        <f t="shared" si="3"/>
        <v>3급</v>
      </c>
      <c r="E45" s="16" t="str">
        <f t="shared" si="4"/>
        <v>1</v>
      </c>
      <c r="F45" s="16" t="s">
        <v>151</v>
      </c>
      <c r="G45" s="16" t="str">
        <f t="shared" si="5"/>
        <v>usim</v>
      </c>
      <c r="H45" s="16" t="s">
        <v>156</v>
      </c>
      <c r="I45" s="11" t="str">
        <f t="shared" si="0"/>
        <v>SCRAMBLE_NORMAL_ALL</v>
      </c>
      <c r="J45" s="10" t="s">
        <v>37</v>
      </c>
      <c r="K45" s="10" t="s">
        <v>43</v>
      </c>
      <c r="L45" s="10" t="s">
        <v>99</v>
      </c>
      <c r="M45" s="16"/>
      <c r="O45" s="16" t="s">
        <v>64</v>
      </c>
      <c r="P45" s="9" t="str">
        <f t="shared" si="1"/>
        <v>else if (radio.value === "3_1_usim") {textInput.value = "SCRAMBLE_NORMAL_ALL";}</v>
      </c>
      <c r="Q45" s="9" t="str">
        <f t="shared" si="6"/>
        <v>insert into cotdl.TBL_LKPIISCRTYPE values('3_1_usim', 3, '3급', 1, '자동 생성 정보', 'usim', 'USIM', 'SCRAMBLE_NORMAL_ALL', 'SCRAMBLE', 'NORMAL', 'ALL', '', '');</v>
      </c>
    </row>
    <row r="46" spans="1:17">
      <c r="A46" s="10">
        <v>45</v>
      </c>
      <c r="B46" s="10" t="s">
        <v>157</v>
      </c>
      <c r="C46" s="10" t="str">
        <f t="shared" si="2"/>
        <v>3</v>
      </c>
      <c r="D46" s="10" t="str">
        <f t="shared" si="3"/>
        <v>3급</v>
      </c>
      <c r="E46" s="10" t="str">
        <f t="shared" si="4"/>
        <v>1</v>
      </c>
      <c r="F46" s="10" t="s">
        <v>146</v>
      </c>
      <c r="G46" s="10" t="str">
        <f t="shared" si="5"/>
        <v>websiteHistory</v>
      </c>
      <c r="H46" s="10" t="s">
        <v>158</v>
      </c>
      <c r="I46" s="11" t="str">
        <f t="shared" si="0"/>
        <v>FIXED_*</v>
      </c>
      <c r="J46" s="10" t="s">
        <v>56</v>
      </c>
      <c r="K46" s="16" t="s">
        <v>57</v>
      </c>
      <c r="L46" s="16"/>
      <c r="M46" s="10"/>
      <c r="N46" s="10"/>
      <c r="P46" s="9" t="str">
        <f t="shared" si="1"/>
        <v>else if (radio.value === "3_1_websiteHistory") {textInput.value = "FIXED_*";}</v>
      </c>
      <c r="Q46" s="9" t="str">
        <f t="shared" si="6"/>
        <v>insert into cotdl.TBL_LKPIISCRTYPE values('3_1_websiteHistory', 3, '3급', 1, '자동 생성 정보', 'websiteHistory', '사이트 방문 기록', 'FIXED_*', 'FIXED', '*', '', '', '');</v>
      </c>
    </row>
    <row r="47" spans="1:17">
      <c r="A47" s="10">
        <v>46</v>
      </c>
      <c r="B47" s="10" t="s">
        <v>159</v>
      </c>
      <c r="C47" s="10" t="str">
        <f t="shared" si="2"/>
        <v>3</v>
      </c>
      <c r="D47" s="10" t="str">
        <f t="shared" si="3"/>
        <v>3급</v>
      </c>
      <c r="E47" s="10" t="str">
        <f t="shared" si="4"/>
        <v>1</v>
      </c>
      <c r="F47" s="10" t="s">
        <v>146</v>
      </c>
      <c r="G47" s="10" t="str">
        <f t="shared" si="5"/>
        <v>cookies</v>
      </c>
      <c r="H47" s="10" t="s">
        <v>160</v>
      </c>
      <c r="I47" s="11" t="str">
        <f t="shared" si="0"/>
        <v>FIXED_*</v>
      </c>
      <c r="J47" s="10" t="s">
        <v>56</v>
      </c>
      <c r="K47" s="16" t="s">
        <v>57</v>
      </c>
      <c r="L47" s="16"/>
      <c r="M47" s="10"/>
      <c r="N47" s="10"/>
      <c r="P47" s="9" t="str">
        <f t="shared" si="1"/>
        <v>else if (radio.value === "3_1_cookies") {textInput.value = "FIXED_*";}</v>
      </c>
      <c r="Q47" s="9" t="str">
        <f t="shared" si="6"/>
        <v>insert into cotdl.TBL_LKPIISCRTYPE values('3_1_cookies', 3, '3급', 1, '자동 생성 정보', 'cookies', '쿠키', 'FIXED_*', 'FIXED', '*', '', '', '');</v>
      </c>
    </row>
    <row r="48" spans="1:17">
      <c r="A48" s="10">
        <v>47</v>
      </c>
      <c r="B48" s="10" t="s">
        <v>161</v>
      </c>
      <c r="C48" s="10" t="str">
        <f t="shared" si="2"/>
        <v>3</v>
      </c>
      <c r="D48" s="10" t="str">
        <f t="shared" si="3"/>
        <v>3급</v>
      </c>
      <c r="E48" s="10" t="str">
        <f t="shared" si="4"/>
        <v>2</v>
      </c>
      <c r="F48" s="10" t="s">
        <v>162</v>
      </c>
      <c r="G48" s="10" t="str">
        <f t="shared" si="5"/>
        <v>statistics</v>
      </c>
      <c r="H48" s="10" t="s">
        <v>163</v>
      </c>
      <c r="I48" s="11" t="str">
        <f t="shared" si="0"/>
        <v>FIXED_*</v>
      </c>
      <c r="J48" s="10" t="s">
        <v>56</v>
      </c>
      <c r="K48" s="16" t="s">
        <v>57</v>
      </c>
      <c r="L48" s="16"/>
      <c r="M48" s="10"/>
      <c r="N48" s="10"/>
      <c r="P48" s="9" t="str">
        <f t="shared" si="1"/>
        <v>else if (radio.value === "3_2_statistics") {textInput.value = "FIXED_*";}</v>
      </c>
      <c r="Q48" s="9" t="str">
        <f t="shared" si="6"/>
        <v>insert into cotdl.TBL_LKPIISCRTYPE values('3_2_statistics', 3, '3급', 2, '가공정보', 'statistics', '통계성 정보', 'FIXED_*', 'FIXED', '*', '', '', '');</v>
      </c>
    </row>
    <row r="49" spans="1:17">
      <c r="A49" s="10">
        <v>48</v>
      </c>
      <c r="B49" s="10" t="s">
        <v>164</v>
      </c>
      <c r="C49" s="10" t="str">
        <f t="shared" si="2"/>
        <v>3</v>
      </c>
      <c r="D49" s="10" t="str">
        <f t="shared" si="3"/>
        <v>3급</v>
      </c>
      <c r="E49" s="10" t="str">
        <f t="shared" si="4"/>
        <v>2</v>
      </c>
      <c r="F49" s="10" t="s">
        <v>162</v>
      </c>
      <c r="G49" s="10" t="str">
        <f t="shared" si="5"/>
        <v>membershipInfo</v>
      </c>
      <c r="H49" s="10" t="s">
        <v>165</v>
      </c>
      <c r="I49" s="11" t="str">
        <f t="shared" si="0"/>
        <v>FIXED_*</v>
      </c>
      <c r="J49" s="10" t="s">
        <v>56</v>
      </c>
      <c r="K49" s="16" t="s">
        <v>57</v>
      </c>
      <c r="L49" s="16"/>
      <c r="M49" s="10"/>
      <c r="N49" s="10"/>
      <c r="P49" s="9" t="str">
        <f t="shared" si="1"/>
        <v>else if (radio.value === "3_2_membershipInfo") {textInput.value = "FIXED_*";}</v>
      </c>
      <c r="Q49" s="9" t="str">
        <f t="shared" si="6"/>
        <v>insert into cotdl.TBL_LKPIISCRTYPE values('3_2_membershipInfo', 3, '3급', 2, '가공정보', 'membershipInfo', '가입자 성향', 'FIXED_*', 'FIXED', '*', '', '', '');</v>
      </c>
    </row>
    <row r="50" spans="1:17" s="17" customFormat="1">
      <c r="A50" s="10">
        <v>49</v>
      </c>
      <c r="B50" s="16" t="s">
        <v>166</v>
      </c>
      <c r="C50" s="16" t="str">
        <f t="shared" si="2"/>
        <v>3</v>
      </c>
      <c r="D50" s="16" t="str">
        <f t="shared" si="3"/>
        <v>3급</v>
      </c>
      <c r="E50" s="16" t="str">
        <f t="shared" si="4"/>
        <v>3</v>
      </c>
      <c r="F50" s="16" t="s">
        <v>167</v>
      </c>
      <c r="G50" s="16" t="str">
        <f t="shared" si="5"/>
        <v>memberID</v>
      </c>
      <c r="H50" s="16" t="s">
        <v>168</v>
      </c>
      <c r="I50" s="11" t="str">
        <f t="shared" si="0"/>
        <v>SCRAMBLE_NORMAL_AFTER2</v>
      </c>
      <c r="J50" s="10" t="s">
        <v>37</v>
      </c>
      <c r="K50" s="10" t="s">
        <v>43</v>
      </c>
      <c r="L50" s="10" t="s">
        <v>44</v>
      </c>
      <c r="M50" s="16"/>
      <c r="N50" s="16"/>
      <c r="P50" s="9" t="str">
        <f t="shared" si="1"/>
        <v>else if (radio.value === "3_3_memberID") {textInput.value = "SCRAMBLE_NORMAL_AFTER2";}</v>
      </c>
      <c r="Q50" s="9" t="str">
        <f t="shared" si="6"/>
        <v>insert into cotdl.TBL_LKPIISCRTYPE values('3_3_memberID', 3, '3급', 3, '제한적 본인 식별정보', 'memberID', '회원번호', 'SCRAMBLE_NORMAL_AFTER2', 'SCRAMBLE', 'NORMAL', 'AFTER2', '', '');</v>
      </c>
    </row>
    <row r="51" spans="1:17" s="17" customFormat="1">
      <c r="A51" s="10">
        <v>50</v>
      </c>
      <c r="B51" s="16" t="s">
        <v>169</v>
      </c>
      <c r="C51" s="16" t="str">
        <f t="shared" si="2"/>
        <v>3</v>
      </c>
      <c r="D51" s="16" t="str">
        <f t="shared" si="3"/>
        <v>3급</v>
      </c>
      <c r="E51" s="16" t="str">
        <f t="shared" si="4"/>
        <v>3</v>
      </c>
      <c r="F51" s="16" t="s">
        <v>167</v>
      </c>
      <c r="G51" s="16" t="str">
        <f t="shared" si="5"/>
        <v>employeeID</v>
      </c>
      <c r="H51" s="16" t="s">
        <v>170</v>
      </c>
      <c r="I51" s="11" t="str">
        <f t="shared" si="0"/>
        <v>SCRAMBLE_NORMAL_AFTER2</v>
      </c>
      <c r="J51" s="10" t="s">
        <v>37</v>
      </c>
      <c r="K51" s="10" t="s">
        <v>43</v>
      </c>
      <c r="L51" s="10" t="s">
        <v>44</v>
      </c>
      <c r="M51" s="16"/>
      <c r="N51" s="16"/>
      <c r="P51" s="9" t="str">
        <f t="shared" si="1"/>
        <v>else if (radio.value === "3_3_employeeID") {textInput.value = "SCRAMBLE_NORMAL_AFTER2";}</v>
      </c>
      <c r="Q51" s="9" t="str">
        <f t="shared" si="6"/>
        <v>insert into cotdl.TBL_LKPIISCRTYPE values('3_3_employeeID', 3, '3급', 3, '제한적 본인 식별정보', 'employeeID', '사번', 'SCRAMBLE_NORMAL_AFTER2', 'SCRAMBLE', 'NORMAL', 'AFTER2', '', '');</v>
      </c>
    </row>
    <row r="52" spans="1:17" s="17" customFormat="1">
      <c r="A52" s="10">
        <v>51</v>
      </c>
      <c r="B52" s="16" t="s">
        <v>171</v>
      </c>
      <c r="C52" s="16" t="str">
        <f t="shared" si="2"/>
        <v>3</v>
      </c>
      <c r="D52" s="16" t="str">
        <f t="shared" si="3"/>
        <v>3급</v>
      </c>
      <c r="E52" s="16" t="str">
        <f t="shared" si="4"/>
        <v>3</v>
      </c>
      <c r="F52" s="16" t="s">
        <v>167</v>
      </c>
      <c r="G52" s="16" t="str">
        <f t="shared" si="5"/>
        <v>internalID</v>
      </c>
      <c r="H52" s="16" t="s">
        <v>172</v>
      </c>
      <c r="I52" s="11" t="str">
        <f t="shared" si="0"/>
        <v>SCRAMBLE_NORMAL_AFTER2</v>
      </c>
      <c r="J52" s="10" t="s">
        <v>37</v>
      </c>
      <c r="K52" s="10" t="s">
        <v>43</v>
      </c>
      <c r="L52" s="10" t="s">
        <v>44</v>
      </c>
      <c r="M52" s="16"/>
      <c r="N52" s="16"/>
      <c r="P52" s="9" t="str">
        <f t="shared" si="1"/>
        <v>else if (radio.value === "3_3_internalID") {textInput.value = "SCRAMBLE_NORMAL_AFTER2";}</v>
      </c>
      <c r="Q52" s="9" t="str">
        <f t="shared" si="6"/>
        <v>insert into cotdl.TBL_LKPIISCRTYPE values('3_3_internalID', 3, '3급', 3, '제한적 본인 식별정보', 'internalID', '내부용 개인식별정보', 'SCRAMBLE_NORMAL_AFTER2', 'SCRAMBLE', 'NORMAL', 'AFTER2', '', '');</v>
      </c>
    </row>
    <row r="53" spans="1:17" s="29" customFormat="1">
      <c r="A53" s="27">
        <v>52</v>
      </c>
      <c r="B53" s="27" t="s">
        <v>173</v>
      </c>
      <c r="C53" s="27" t="str">
        <f t="shared" si="2"/>
        <v>3</v>
      </c>
      <c r="D53" s="27" t="str">
        <f t="shared" si="3"/>
        <v>3급</v>
      </c>
      <c r="E53" s="27" t="str">
        <f t="shared" si="4"/>
        <v>3</v>
      </c>
      <c r="F53" s="27" t="s">
        <v>174</v>
      </c>
      <c r="G53" s="27" t="str">
        <f t="shared" si="5"/>
        <v>corpno</v>
      </c>
      <c r="H53" s="27" t="s">
        <v>175</v>
      </c>
      <c r="I53" s="28" t="str">
        <f t="shared" si="0"/>
        <v>SCRAMBLE_CORPNO_ALL</v>
      </c>
      <c r="J53" s="27" t="s">
        <v>37</v>
      </c>
      <c r="K53" s="27" t="s">
        <v>176</v>
      </c>
      <c r="L53" s="27" t="s">
        <v>99</v>
      </c>
      <c r="M53" s="27" t="s">
        <v>177</v>
      </c>
      <c r="N53" s="27"/>
      <c r="O53" s="29" t="s">
        <v>178</v>
      </c>
      <c r="P53" s="29" t="str">
        <f t="shared" si="1"/>
        <v>else if (radio.value === "3_3_corpno") {textInput.value = "SCRAMBLE_CORPNO_ALL";}</v>
      </c>
      <c r="Q53" s="29" t="str">
        <f t="shared" si="6"/>
        <v>insert into cotdl.TBL_LKPIISCRTYPE values('3_3_corpno', 3, '3급', 3, '제한적 본인 식별정보', 'corpno', '법인번호', 'SCRAMBLE_CORPNO_ALL', 'SCRAMBLE', 'CORPNO', 'ALL', 'CORPNO', '');</v>
      </c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Meta Data</vt:lpstr>
      <vt:lpstr>(참조) 개인정보코드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민석2 차</cp:lastModifiedBy>
  <cp:lastPrinted>2022-11-10T10:50:29Z</cp:lastPrinted>
  <dcterms:created xsi:type="dcterms:W3CDTF">2021-12-28T10:46:24Z</dcterms:created>
  <dcterms:modified xsi:type="dcterms:W3CDTF">2024-06-17T11:10:50Z</dcterms:modified>
</cp:coreProperties>
</file>